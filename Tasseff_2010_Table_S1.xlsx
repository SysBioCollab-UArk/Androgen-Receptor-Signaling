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ardharris/PycharmProjects/Androgen-Receptor-Signaling/"/>
    </mc:Choice>
  </mc:AlternateContent>
  <xr:revisionPtr revIDLastSave="0" documentId="13_ncr:1_{4A23BFDB-1C6A-C444-A5D2-9DB53B4451CA}" xr6:coauthVersionLast="47" xr6:coauthVersionMax="47" xr10:uidLastSave="{00000000-0000-0000-0000-000000000000}"/>
  <bookViews>
    <workbookView xWindow="-51140" yWindow="-5800" windowWidth="51140" windowHeight="26420" xr2:uid="{DAEDA9B9-C3D9-8E43-A6C8-4993DA157149}"/>
  </bookViews>
  <sheets>
    <sheet name="te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5" i="1" l="1"/>
  <c r="A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3" i="1"/>
  <c r="O3" i="1"/>
  <c r="O233" i="1"/>
  <c r="O234" i="1"/>
  <c r="O235" i="1"/>
  <c r="O236" i="1"/>
  <c r="O237" i="1"/>
  <c r="O238" i="1"/>
  <c r="O239" i="1"/>
  <c r="O240" i="1"/>
  <c r="O241" i="1"/>
  <c r="O242" i="1"/>
  <c r="O231" i="1"/>
  <c r="O232" i="1"/>
  <c r="O230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12" i="1"/>
  <c r="O213" i="1"/>
  <c r="O214" i="1"/>
  <c r="O215" i="1"/>
  <c r="O216" i="1"/>
  <c r="O217" i="1"/>
  <c r="O211" i="1"/>
  <c r="O206" i="1"/>
  <c r="O207" i="1"/>
  <c r="O208" i="1"/>
  <c r="O209" i="1"/>
  <c r="O210" i="1"/>
  <c r="O200" i="1"/>
  <c r="O201" i="1"/>
  <c r="O202" i="1"/>
  <c r="O203" i="1"/>
  <c r="O204" i="1"/>
  <c r="O205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167" i="1"/>
  <c r="O168" i="1"/>
  <c r="O169" i="1"/>
  <c r="O170" i="1"/>
  <c r="O171" i="1"/>
  <c r="O172" i="1"/>
  <c r="O173" i="1"/>
  <c r="O174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28" i="1"/>
  <c r="O129" i="1"/>
  <c r="O130" i="1"/>
  <c r="O131" i="1"/>
  <c r="O132" i="1"/>
  <c r="O122" i="1"/>
  <c r="O123" i="1"/>
  <c r="O124" i="1"/>
  <c r="O125" i="1"/>
  <c r="O126" i="1"/>
  <c r="O127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A241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2" i="1"/>
  <c r="A4" i="1"/>
  <c r="A5" i="1"/>
  <c r="A6" i="1"/>
  <c r="A7" i="1"/>
  <c r="A8" i="1"/>
  <c r="A9" i="1"/>
  <c r="A10" i="1"/>
  <c r="A11" i="1"/>
  <c r="A12" i="1"/>
  <c r="A13" i="1"/>
  <c r="A14" i="1"/>
  <c r="A15" i="1"/>
  <c r="A16" i="1"/>
</calcChain>
</file>

<file path=xl/sharedStrings.xml><?xml version="1.0" encoding="utf-8"?>
<sst xmlns="http://schemas.openxmlformats.org/spreadsheetml/2006/main" count="2492" uniqueCount="937">
  <si>
    <t>g-cPAcP-RNAp</t>
  </si>
  <si>
    <t>g-cPAcP+RNAp+mRNA-cPAcP</t>
  </si>
  <si>
    <t>mRNA-cPAcP+eIF4E</t>
  </si>
  <si>
    <t>mRNA-cPAcP-eIF4E</t>
  </si>
  <si>
    <t>mRNA-cPAcP-eIF4E+40S</t>
  </si>
  <si>
    <t>mRNA-cPAcP-eIF4E-40S</t>
  </si>
  <si>
    <t>mRNA-cPAcP-eIF4E-40S+60S</t>
  </si>
  <si>
    <t>mRNA-cPAcP-eIF4E-40S-60S</t>
  </si>
  <si>
    <t>Rm-cPAcP+eIF4E</t>
  </si>
  <si>
    <t>Rm-cPAcP</t>
  </si>
  <si>
    <t>Ar-cPAcP</t>
  </si>
  <si>
    <t>cPAcP+40S+60S+mRNA-cPAcP</t>
  </si>
  <si>
    <t>cPAcP</t>
  </si>
  <si>
    <t>mRNA-cPAcP</t>
  </si>
  <si>
    <t>2*cPAcP</t>
  </si>
  <si>
    <t>cPAcP-2</t>
  </si>
  <si>
    <t>2*cPAcP-2</t>
  </si>
  <si>
    <t>cPAcP-4</t>
  </si>
  <si>
    <t>2*Her2-2-p+cPAcP-2</t>
  </si>
  <si>
    <t>2Her2-2-p-cPAcP-2</t>
  </si>
  <si>
    <t>2*Her2-2+cPAcP-2</t>
  </si>
  <si>
    <t>4*Her2-2-p+cPAcP-4</t>
  </si>
  <si>
    <t>4Her2-2-p-cPAcP-4</t>
  </si>
  <si>
    <t>4*Her2-2+cPAcP-4</t>
  </si>
  <si>
    <t>Her2-2+sPAcP</t>
  </si>
  <si>
    <t>Her2-2-sPAcP</t>
  </si>
  <si>
    <t>Her2-2-p+sPAcP</t>
  </si>
  <si>
    <t>AR-p-2+g-sPAcP</t>
  </si>
  <si>
    <t>AR-p-2-g-sPAcP</t>
  </si>
  <si>
    <t>AR-p-DHT-2+g-sPAcP</t>
  </si>
  <si>
    <t>AR-p-DHT-2-g-sPAcP</t>
  </si>
  <si>
    <t>AR-p-DHT-AR-p+g-sPAcP</t>
  </si>
  <si>
    <t>AR-p-DHT-AR-p-g-sPAcP</t>
  </si>
  <si>
    <t>AR-p-T-2+g-sPAcP</t>
  </si>
  <si>
    <t>AR-p-T-2-g-sPAcP</t>
  </si>
  <si>
    <t>AR-p-AR-p-T+g-sPAcP</t>
  </si>
  <si>
    <t>AR-p-AR-p-T-g-sPAcP</t>
  </si>
  <si>
    <t>AR-p-DHT-AR-p-T+g-sPAcP</t>
  </si>
  <si>
    <t>AR-p-DHT-AR-p-T-g-sPAcP</t>
  </si>
  <si>
    <t>sPAcP</t>
  </si>
  <si>
    <t>sPAcP-e</t>
  </si>
  <si>
    <t>g-sPAcP+RNAp</t>
  </si>
  <si>
    <t>g-sPAcP-RNAp</t>
  </si>
  <si>
    <t>g-sPAcP+RNAp+mRNA-sPAcP</t>
  </si>
  <si>
    <t>mRNA-sPAcP+eIF4E</t>
  </si>
  <si>
    <t>mRNA-sPAcP-eIF4E</t>
  </si>
  <si>
    <t>mRNA-sPAcP-eIF4E+40S</t>
  </si>
  <si>
    <t>mRNA-sPAcP-eIF4E-40S</t>
  </si>
  <si>
    <t>mRNA-sPAcP-eIF4E-40S+60S</t>
  </si>
  <si>
    <t>mRNA-sPAcP-eIF4E-40S-60S</t>
  </si>
  <si>
    <t>Rm-sPAcP+eIF4E</t>
  </si>
  <si>
    <t>Rm-sPAcP</t>
  </si>
  <si>
    <t>Ar-sPAcP</t>
  </si>
  <si>
    <t>sPAcP+40S+60S+mRNA-sPAcP</t>
  </si>
  <si>
    <t>mRNA-sPAcP</t>
  </si>
  <si>
    <t>ProteinX mRNA binds initiation factor eIF4E</t>
  </si>
  <si>
    <t>ProteinX mRNA releases initiation factor eIF4E</t>
  </si>
  <si>
    <t>Elongation</t>
  </si>
  <si>
    <t>Termination</t>
  </si>
  <si>
    <t>ProteinX mRNA binds ribosome 40S</t>
  </si>
  <si>
    <t>ProteinX mRNA binds ribosome 60S</t>
  </si>
  <si>
    <t>[13] Cantley LC (2002) The phosphoinositide 3-kinase pathway. Science 296:1655–</t>
    <phoneticPr fontId="3" type="noConversion"/>
  </si>
  <si>
    <t>[14] Vivanco I, Sawyers CL (2002) The phosphatidylinositol 3-kinase akt pathway in human</t>
    <phoneticPr fontId="3" type="noConversion"/>
  </si>
  <si>
    <t>[16] Sekuli? A, Hudson CC, Homme JL, Yin P, Otterness DM, et al. (2000) A direct</t>
    <phoneticPr fontId="3" type="noConversion"/>
  </si>
  <si>
    <t>[19] Brunn GJ, Hudson CC, Sekuli? A, Williams JM, Hosoi H, et al. (1997) Phosphorylation</t>
    <phoneticPr fontId="3" type="noConversion"/>
  </si>
  <si>
    <t>Citations listed are the primary source of information regarding the corresponding interaction, and</t>
  </si>
  <si>
    <t>include either the exact interaction (i.e. from preexisting model) or evidence from which the interaction was inferred.</t>
  </si>
  <si>
    <t>The time units on the rate constants are all per sec; however,</t>
  </si>
  <si>
    <t>concentration units are arbitrary as a result of arbitrary units on training data.</t>
  </si>
  <si>
    <t>* - Her2 adaptor complex reactions taken to be similar to that of the EGFR adaptor complex due to similarities between Her2 and EGFR protein-protein interactions.</t>
  </si>
  <si>
    <r>
      <t>‡</t>
    </r>
    <r>
      <rPr>
        <sz val="10"/>
        <rFont val="Arial"/>
        <family val="2"/>
      </rPr>
      <t>- Internalized EGFR complexes still undergo cellular signalling; in this study the reactions were taken to be identical to the reactions of membrane bound EGFR.</t>
    </r>
  </si>
  <si>
    <t>1 .367E-1±1.947E-1</t>
  </si>
  <si>
    <t>6.82E0±6.97E0</t>
  </si>
  <si>
    <t>*</t>
  </si>
  <si>
    <t>4,5</t>
  </si>
  <si>
    <t>†</t>
  </si>
  <si>
    <t>‡</t>
  </si>
  <si>
    <t>1,13,14</t>
  </si>
  <si>
    <t>13,14</t>
  </si>
  <si>
    <t>17-19</t>
  </si>
  <si>
    <t>◊</t>
  </si>
  <si>
    <t>12,◊</t>
  </si>
  <si>
    <t>20,21,◊</t>
  </si>
  <si>
    <t>17,19</t>
  </si>
  <si>
    <t>Transcription Scheme:</t>
  </si>
  <si>
    <t>reaction</t>
  </si>
  <si>
    <t xml:space="preserve">discription </t>
  </si>
  <si>
    <t>g-ProteinX-RNAp</t>
  </si>
  <si>
    <t>g-ProteinX+RNAp+mRNA-ProteinX</t>
  </si>
  <si>
    <t>Translation Scheme:</t>
  </si>
  <si>
    <t>mRNA-ProteinX-eIF4E-40S-60S</t>
  </si>
  <si>
    <t>Rm-ProteinX+eIF4E</t>
  </si>
  <si>
    <t>Rm-ProteinX</t>
  </si>
  <si>
    <t>Ar-ProteinX</t>
  </si>
  <si>
    <t>ProteinX+40S+60S+mRNA-ProteinX</t>
  </si>
  <si>
    <t>mRNA-ProteinX+eIF4E</t>
  </si>
  <si>
    <t>mRNA-ProteinX-eIF4E</t>
  </si>
  <si>
    <t>mRNA-ProteinX-eIF4E+40S</t>
  </si>
  <si>
    <t>mRNA-ProteinX-eIF4E-40S</t>
  </si>
  <si>
    <t>mRNA-ProteinX-eIF4E-40S+60S</t>
  </si>
  <si>
    <t>Her2-2-p+cPAcP</t>
  </si>
  <si>
    <t>Her2-2-p-cPAcP</t>
  </si>
  <si>
    <t>Her2-2+cPAcP</t>
  </si>
  <si>
    <t>AR-p-2+g-cPAcP</t>
  </si>
  <si>
    <t>AR-p-2-g-cPAcP</t>
  </si>
  <si>
    <t>AR-p-DHT-2+g-cPAcP</t>
  </si>
  <si>
    <t>AR-p-DHT-2-g-cPAcP</t>
  </si>
  <si>
    <t>AR-p-DHT-AR-p+g-cPAcP</t>
  </si>
  <si>
    <t>AR-p-DHT-AR-p-g-cPAcP</t>
  </si>
  <si>
    <t>AR-p-T-2+g-cPAcP</t>
  </si>
  <si>
    <t>AR-p-T-2-g-cPAcP</t>
  </si>
  <si>
    <t>AR-p-AR-p-T+g-cPAcP</t>
  </si>
  <si>
    <t>AR-p-AR-p-T-g-cPAcP</t>
  </si>
  <si>
    <t>AR-p-DHT-AR-p-T+g-cPAcP</t>
  </si>
  <si>
    <t>AR-p-DHT-AR-p-T-g-cPAcP</t>
  </si>
  <si>
    <t>g-cPAcP+RNAp</t>
  </si>
  <si>
    <t>2.789E0±5.206E0</t>
  </si>
  <si>
    <t>1.351E0±1.222E0</t>
  </si>
  <si>
    <t>3.075E0±3.738E0</t>
  </si>
  <si>
    <t>1.231E1±4.931E1</t>
  </si>
  <si>
    <t>5.262E0±9.916E0</t>
  </si>
  <si>
    <t>0E0±0E0</t>
  </si>
  <si>
    <t>1.579E-1±3.334E-1</t>
  </si>
  <si>
    <t>6.648E-3±4.899E-3</t>
  </si>
  <si>
    <t>7.456E-2±8.563E-2</t>
  </si>
  <si>
    <t>7.874E-2±9.134E-2</t>
  </si>
  <si>
    <t>1.541E-1±2.247E-1</t>
  </si>
  <si>
    <t>1.199E0±9.562E-1</t>
  </si>
  <si>
    <t>1.617E0±1.465E0</t>
  </si>
  <si>
    <t>1.652E-1±3.045E-1</t>
  </si>
  <si>
    <t>9.176E0±1.724E1</t>
  </si>
  <si>
    <t>9.441E-2±6.697E-2</t>
  </si>
  <si>
    <t>1.38E-1±1.346E-1</t>
  </si>
  <si>
    <t>4.926E-1±1.139E0</t>
  </si>
  <si>
    <t>1.142E0±8.919E-1</t>
  </si>
  <si>
    <t>4.336E0±4.556E0</t>
  </si>
  <si>
    <t>1.374E0±1.034E0</t>
  </si>
  <si>
    <t>3.637E-3±2.758E-3</t>
  </si>
  <si>
    <t>5.853E-3±5.596E-3</t>
  </si>
  <si>
    <t>5.328E-2±1.285E-1</t>
  </si>
  <si>
    <t>2.534E-2±1.687E-2</t>
  </si>
  <si>
    <t>8.124E0±9.856E0</t>
  </si>
  <si>
    <t>2.556E-2±2.661E-2</t>
  </si>
  <si>
    <t>1.54E1±2.376E1</t>
  </si>
  <si>
    <t>1.941E-1±3.754E-1</t>
  </si>
  <si>
    <t>1.93E-1±1.462E-1</t>
  </si>
  <si>
    <t>1.684E-1±2.04E-1</t>
  </si>
  <si>
    <t>1.01E-1±1.081E-1</t>
  </si>
  <si>
    <t>9.81E-2±5.877E-2</t>
  </si>
  <si>
    <t>3.081E-1±2.74E-1</t>
  </si>
  <si>
    <t>2.839E-1±3.552E-1</t>
  </si>
  <si>
    <t>7.83E0±2.249E1</t>
  </si>
  <si>
    <t>2.096E-1±3.052E-1</t>
  </si>
  <si>
    <t>2.551E-1±1.76E-1</t>
  </si>
  <si>
    <t>2.5E-1±2.358E-1</t>
  </si>
  <si>
    <t>1.86E0±2.631E0</t>
  </si>
  <si>
    <t>1.099E-2±6.375E-3</t>
  </si>
  <si>
    <t>1.156E-2±1.103E-2</t>
  </si>
  <si>
    <t>3.292E-2±5.52E-2</t>
  </si>
  <si>
    <t>2.873E-4±4.865E-4</t>
  </si>
  <si>
    <t>8.167E-2±8.195E-2</t>
  </si>
  <si>
    <t>2.238E-2±1.652E-2</t>
  </si>
  <si>
    <t>3.064E-4±2.688E-4</t>
  </si>
  <si>
    <t>8.891E-5±5.851E-5</t>
  </si>
  <si>
    <t>1.959E-4±2.315E-4</t>
  </si>
  <si>
    <t>2.128E-4±2.825E-4</t>
  </si>
  <si>
    <t>1.311E-2±1.021E-2</t>
  </si>
  <si>
    <t>6.989E-1±8.214E-1</t>
  </si>
  <si>
    <t>1.194E0±9.078E-1</t>
  </si>
  <si>
    <t>9.399E-1±6.401E-1</t>
  </si>
  <si>
    <t>1.781E0±1.759E0</t>
  </si>
  <si>
    <t>3.98E-4±2.062E-4</t>
  </si>
  <si>
    <t>7.268E-3±8.931E-3</t>
  </si>
  <si>
    <t>3.797E-2±1.084E-1</t>
  </si>
  <si>
    <t>1.185E0±1E0</t>
  </si>
  <si>
    <t>1.31E0±2.102E0</t>
  </si>
  <si>
    <t>1.612E0±1.219E0</t>
  </si>
  <si>
    <t>1.089E0±8.417E-1</t>
  </si>
  <si>
    <t>1.572E0±1.147E0</t>
  </si>
  <si>
    <t>1.474E0±1.459E0</t>
  </si>
  <si>
    <t>8.094E-1±6.348E-1</t>
  </si>
  <si>
    <t>1.389E-1±1.328E-1</t>
  </si>
  <si>
    <t>6.123E-3±5.87E-3</t>
  </si>
  <si>
    <t>9.309E-6±7.499E-6</t>
  </si>
  <si>
    <t>1.057E0±1.053E0</t>
  </si>
  <si>
    <t>1.208E-2±8.088E-3</t>
  </si>
  <si>
    <t>1.3E0±1.39E0</t>
  </si>
  <si>
    <t>7.162E-4±7.064E-4</t>
  </si>
  <si>
    <t>1.12E-1±1.224E-1</t>
  </si>
  <si>
    <t>9.256E0±6.196E0</t>
  </si>
  <si>
    <t>7.811E0±5.607E0</t>
  </si>
  <si>
    <t>1.861E-3±3.179E-3</t>
  </si>
  <si>
    <t>1.933E-3±4.962E-3</t>
  </si>
  <si>
    <t>[]</t>
  </si>
  <si>
    <t>Protein-Protein Protein-DNA reactions</t>
  </si>
  <si>
    <t>reactions</t>
  </si>
  <si>
    <t>kon</t>
  </si>
  <si>
    <t>koff</t>
  </si>
  <si>
    <t>kcat</t>
  </si>
  <si>
    <t>cite</t>
  </si>
  <si>
    <t xml:space="preserve">All interactions and there corresponding initial rate constants used in model generation.  </t>
  </si>
  <si>
    <t>4.288E-1±8.691E-1</t>
  </si>
  <si>
    <t>2.945E-2±4.654E-2</t>
  </si>
  <si>
    <t>9.158E-9±5.822E-9</t>
  </si>
  <si>
    <t>1.29E-4±9.22E-5</t>
  </si>
  <si>
    <t>1.372E-1±4.477E-1</t>
  </si>
  <si>
    <t>4.913E-3±3.906E-3</t>
  </si>
  <si>
    <t>1.182E-4±9.273E-5</t>
  </si>
  <si>
    <t>8.565E-5±6.869E-5</t>
  </si>
  <si>
    <t>8.626E-2±5.139E-2</t>
  </si>
  <si>
    <t>2.007E-4±2.664E-4</t>
  </si>
  <si>
    <t>7.817E-2±7.669E-2</t>
  </si>
  <si>
    <t>1.577E-4±3.931E-4</t>
  </si>
  <si>
    <t>1.025E-2±1.364E-2</t>
  </si>
  <si>
    <t>1.353E-4±2.42E-4</t>
  </si>
  <si>
    <t>1.091E-4±1.097E-4</t>
  </si>
  <si>
    <t>1.029E-5±8.85E-6</t>
  </si>
  <si>
    <t>9.22E-5±1.021E-4</t>
  </si>
  <si>
    <t>8.384E-4±8.525E-4</t>
  </si>
  <si>
    <t>4.362E-4±9.551E-4</t>
  </si>
  <si>
    <t>2.375E-4±3.218E-4</t>
  </si>
  <si>
    <t>4.169E-5±3.125E-5</t>
  </si>
  <si>
    <t>5.429E-3±1.32E-2</t>
  </si>
  <si>
    <t>8.539E-5±1.306E-4</t>
  </si>
  <si>
    <t>1.204E-4±1.07E-4</t>
  </si>
  <si>
    <t>2.392E-4±1.671E-4</t>
  </si>
  <si>
    <t>5.202E-4±3.549E-4</t>
  </si>
  <si>
    <t>2.092E-4±2.523E-4</t>
  </si>
  <si>
    <t>1.516E-4±1.413E-4</t>
  </si>
  <si>
    <t>5.788E-2±8.352E-2</t>
  </si>
  <si>
    <t>7.556E-2±7.697E-2</t>
  </si>
  <si>
    <t>4.894E-2±4.501E-2</t>
  </si>
  <si>
    <t>1.238E-3±1.192E-3</t>
  </si>
  <si>
    <t>2.137E-2±2.447E-2</t>
  </si>
  <si>
    <t>8.14E-3±7.613E-3</t>
  </si>
  <si>
    <t>8.773E-2±8.511E-2</t>
  </si>
  <si>
    <t>5.877E-3±2.975E-3</t>
  </si>
  <si>
    <t>7.418E-1±6.638E-1</t>
  </si>
  <si>
    <t>1.306E-3±1.249E-3</t>
  </si>
  <si>
    <t>1.278E-4±1.134E-4</t>
  </si>
  <si>
    <t>5.894E-6±4.173E-6</t>
  </si>
  <si>
    <t>9.861E-4±8.116E-4</t>
  </si>
  <si>
    <t>4.486E-6±2.712E-6</t>
  </si>
  <si>
    <t>7.736E-4±6.483E-4</t>
  </si>
  <si>
    <t>6.108E-4±1.143E-3</t>
  </si>
  <si>
    <t>1.351E-2±7.272E-3</t>
  </si>
  <si>
    <t>9.892E-3±1.443E-2</t>
  </si>
  <si>
    <t>2.33E-1±3.139E-1</t>
  </si>
  <si>
    <t>9.908E-3±9.67E-3</t>
  </si>
  <si>
    <t>9.053E-1±5.338E-1</t>
  </si>
  <si>
    <t>1.499E-3±1.438E-3</t>
  </si>
  <si>
    <t>3.473E-4±2.456E-4</t>
  </si>
  <si>
    <t>2.741E-2±7.506E-2</t>
  </si>
  <si>
    <t>3.844E-1±8.881E-1</t>
  </si>
  <si>
    <t>7.084E-3±7.617E-3</t>
  </si>
  <si>
    <t>1.532E-2±2.378E-2</t>
  </si>
  <si>
    <t>2.415E-3±2.381E-3</t>
  </si>
  <si>
    <t>8.195E-2±1.868E-1</t>
  </si>
  <si>
    <t>9.026E-2±6.808E-2</t>
  </si>
  <si>
    <t>8.039E-2±1.344E-1</t>
  </si>
  <si>
    <t>6.186E-2±3.229E-2</t>
  </si>
  <si>
    <t>1.292E2±3.518E2</t>
  </si>
  <si>
    <t>2.069E-1±2.448E-1</t>
  </si>
  <si>
    <t>1.306E1±1.071E1</t>
  </si>
  <si>
    <t>1.127E-2±1.019E-2</t>
  </si>
  <si>
    <t>1.765E-3±1.65E-3</t>
  </si>
  <si>
    <t>1.226E-3±2.158E-3</t>
  </si>
  <si>
    <t>1.603E-3±1.851E-3</t>
  </si>
  <si>
    <t>7.501E-4±5.262E-4</t>
  </si>
  <si>
    <t>4.28E0±3.525E0</t>
  </si>
  <si>
    <t>5.685E0±5.969E0</t>
  </si>
  <si>
    <t>1.327E1±1.083E1</t>
  </si>
  <si>
    <t>5.153E0±5.371E0</t>
  </si>
  <si>
    <t>4.399E0±7.045E0</t>
  </si>
  <si>
    <t>2.995E1±6.778E1</t>
  </si>
  <si>
    <t>1.882E1±4.063E1</t>
  </si>
  <si>
    <t>2.012E1±2.021E1</t>
  </si>
  <si>
    <t>2.288E1±2.252E1</t>
  </si>
  <si>
    <t>4.785E-1±3.57E-1</t>
  </si>
  <si>
    <t>5.858E0±6.133E0</t>
  </si>
  <si>
    <t>3.978E0±2.632E0</t>
  </si>
  <si>
    <t>1.409E1±2.857E1</t>
  </si>
  <si>
    <t>2.949E0±2.16E0</t>
  </si>
  <si>
    <t>1.095E1±1.112E1</t>
  </si>
  <si>
    <t>8.435E0±6.538E0</t>
  </si>
  <si>
    <t>7.221E-1±8.541E-1</t>
  </si>
  <si>
    <t>2.617E-2±2.29E-2</t>
  </si>
  <si>
    <t>2.7E0±4.156E0</t>
  </si>
  <si>
    <t>6.128E-4±5.525E-4</t>
  </si>
  <si>
    <t>5.835E-1±1.26E0</t>
  </si>
  <si>
    <t>5.149E-4±2.812E-4</t>
  </si>
  <si>
    <t>2.848E-1±4.904E-1</t>
  </si>
  <si>
    <t>1.281E-1±2.018E-1</t>
  </si>
  <si>
    <t>2.486E0±2.641E0</t>
  </si>
  <si>
    <t>5.42E-5±6.636E-5</t>
  </si>
  <si>
    <t>5.436E-1±4.693E-1</t>
  </si>
  <si>
    <t>6.895E-1±1.445E0</t>
  </si>
  <si>
    <t>7.915E-4±5.504E-4</t>
  </si>
  <si>
    <t>6.064E-1±1.283E0</t>
  </si>
  <si>
    <t>3.362E-3±6.635E-3</t>
  </si>
  <si>
    <t>1.026E0±1.066E0</t>
  </si>
  <si>
    <t>1.013E-3±1.461E-3</t>
  </si>
  <si>
    <t>5.409E-4±5.152E-4</t>
  </si>
  <si>
    <t>4.6E-3±3.726E-3</t>
  </si>
  <si>
    <t>1.671E-3±2.186E-3</t>
  </si>
  <si>
    <t>7.194E-3±4.179E-3</t>
  </si>
  <si>
    <t>7.907E-4±1.029E-3</t>
  </si>
  <si>
    <t>7.667E-3±7.267E-3</t>
  </si>
  <si>
    <t>1.618E-3±1.482E-3</t>
  </si>
  <si>
    <t>9.872E-5±6.594E-5</t>
  </si>
  <si>
    <t>8.423E-4±1.136E-3</t>
  </si>
  <si>
    <t>1.366E-7±1.582E-7</t>
  </si>
  <si>
    <t>4.544E-3±3.674E-3</t>
  </si>
  <si>
    <t>1.314E-7±1.111E-7</t>
  </si>
  <si>
    <t>6.374E-2±3.979E-2</t>
  </si>
  <si>
    <t>2.954E-4±4.596E-4</t>
  </si>
  <si>
    <t>6.191E-2±4.34E-2</t>
  </si>
  <si>
    <t>1.099E-4±1.07E-4</t>
  </si>
  <si>
    <t>1.543E-1±1.874E-1</t>
  </si>
  <si>
    <t>2.343E-4±3.372E-4</t>
  </si>
  <si>
    <t>9.585E-2±1.272E-1</t>
  </si>
  <si>
    <t>2.558E-2±3.325E-2</t>
  </si>
  <si>
    <t>9.074E-6±1.236E-5</t>
  </si>
  <si>
    <t>1.017E-1±6.467E-2</t>
  </si>
  <si>
    <t>5.658E-6±4.624E-6</t>
  </si>
  <si>
    <t>1.447E-1±1.972E-1</t>
  </si>
  <si>
    <t>4.345E-3±2.721E-3</t>
  </si>
  <si>
    <t>7.3E-2±1.85E-1</t>
  </si>
  <si>
    <t>1.811E-2±5.092E-2</t>
  </si>
  <si>
    <t>6.045E-3±4.406E-3</t>
  </si>
  <si>
    <t>1.125E-2±3.516E-2</t>
  </si>
  <si>
    <t>2.44E-2±3.7E-2</t>
  </si>
  <si>
    <t>2.109E-3±3.444E-3</t>
  </si>
  <si>
    <t>4.624E-1±3.654E-1</t>
  </si>
  <si>
    <t>3.753E0±3.797E0</t>
  </si>
  <si>
    <t>2.548E-3±6.034E-3</t>
  </si>
  <si>
    <t>1.403E-3±1.096E-3</t>
  </si>
  <si>
    <t>5.971E-1±4.652E-1</t>
  </si>
  <si>
    <t>8.022E0±1.209E1</t>
  </si>
  <si>
    <t>8.007E-4±7.727E-4</t>
  </si>
  <si>
    <t>2.125E-1±2.91E-1</t>
  </si>
  <si>
    <t>1.412E-2±3.191E-2</t>
  </si>
  <si>
    <t>8.255E-2±8.716E-2</t>
  </si>
  <si>
    <t>5.049E-3±7.031E-3</t>
  </si>
  <si>
    <t>4.34E-1±1.47E0</t>
  </si>
  <si>
    <t>1.849E-2±4.73E-2</t>
  </si>
  <si>
    <t>1.722E-1±1.503E-1</t>
  </si>
  <si>
    <t>8.976E-3±1.111E-2</t>
  </si>
  <si>
    <t>1.983E-1±1.959E-1</t>
  </si>
  <si>
    <t>1.56E-2±9.585E-3</t>
  </si>
  <si>
    <t>3.036E-1±3.942E-1</t>
  </si>
  <si>
    <t>2.262E-2±3.503E-2</t>
  </si>
  <si>
    <t>4.11E-1±7.091E-1</t>
  </si>
  <si>
    <t>7.744E-3±1.008E-2</t>
  </si>
  <si>
    <t>2.436E-1±4.38E-1</t>
  </si>
  <si>
    <t>4.369E-3±7.769E-3</t>
  </si>
  <si>
    <t>9.893E-2±6.529E-2</t>
  </si>
  <si>
    <t>1.874E-2±4.907E-2</t>
  </si>
  <si>
    <t>1.389E-1±1.405E-1</t>
  </si>
  <si>
    <t>1.102E-1±7.477E-2</t>
  </si>
  <si>
    <t>1.779E-1±1.65E-1</t>
  </si>
  <si>
    <t>1.58E-1±3.496E-1</t>
  </si>
  <si>
    <t>1.347E-1±1.643E-1</t>
  </si>
  <si>
    <t>1.947E-1±2.04E-1</t>
  </si>
  <si>
    <t>1.449E0±1.377E0</t>
  </si>
  <si>
    <t>1.555E0±1.212E0</t>
  </si>
  <si>
    <t>4.952E-5±5.451E-5</t>
  </si>
  <si>
    <t>1.104E-1±9.207E-2</t>
  </si>
  <si>
    <t>1.38E-1±1.225E-1</t>
  </si>
  <si>
    <t>1.26E0±1.424E0</t>
  </si>
  <si>
    <t>2.931E-1±7.426E-1</t>
  </si>
  <si>
    <t>9.037E-3±9.077E-3</t>
  </si>
  <si>
    <t>3.726E-1±7.298E-1</t>
  </si>
  <si>
    <t>2.171E0±3.083E0</t>
  </si>
  <si>
    <t>2.066E-1±2.164E-1</t>
  </si>
  <si>
    <t>1.208E-1±1.537E-1</t>
  </si>
  <si>
    <t>9.921E0±2.087E1</t>
  </si>
  <si>
    <t>4.703E0±1.342E1</t>
  </si>
  <si>
    <t>3.983E-3±4.616E-3</t>
  </si>
  <si>
    <t>5.805E-2±7.916E-2</t>
  </si>
  <si>
    <t>1.127E0±1.51E0</t>
  </si>
  <si>
    <t>1.359E-1±1.23E-1</t>
  </si>
  <si>
    <t>2.241E0±7.899E0</t>
  </si>
  <si>
    <t>9.861E-1±1.159E0</t>
  </si>
  <si>
    <t>1.294E-2±3.787E-2</t>
  </si>
  <si>
    <t>1.749E-2±1.219E-2</t>
  </si>
  <si>
    <t>6.129E-1±1.44E0</t>
  </si>
  <si>
    <t>1.707E1±1.581E1</t>
  </si>
  <si>
    <t>5.325E-2±3.92E-2</t>
  </si>
  <si>
    <t>8.951E0±9.414E0</t>
  </si>
  <si>
    <t>1.248E-3±7.101E-4</t>
  </si>
  <si>
    <t>1.032E-1±1.526E-1</t>
  </si>
  <si>
    <t>1.149E0±1.23E0</t>
  </si>
  <si>
    <t>5.455E-3±4.49E-3</t>
  </si>
  <si>
    <t>2.097E-2±1.256E-2</t>
  </si>
  <si>
    <t>5.166E-1±5.821E-1</t>
  </si>
  <si>
    <t>1.77E0±1.446E0</t>
  </si>
  <si>
    <t>6.055E-2±5.209E-2</t>
  </si>
  <si>
    <t>9.006E-2±1.189E-1</t>
  </si>
  <si>
    <t>2.145E-1±6.272E-1</t>
  </si>
  <si>
    <t>1.056E-1±1.282E-1</t>
  </si>
  <si>
    <t>1.677E-3±1.72E-3</t>
  </si>
  <si>
    <t>4.956E-1±3.873E-1</t>
  </si>
  <si>
    <t>2.09E-3±1.47E-3</t>
  </si>
  <si>
    <t>3.124E0±8.012E0</t>
  </si>
  <si>
    <t>1.04E-3±1.072E-3</t>
  </si>
  <si>
    <t>7.569E0±1.607E1</t>
  </si>
  <si>
    <t>6.319E-2±4.223E-2</t>
  </si>
  <si>
    <t>4.293E0±2.501E0</t>
  </si>
  <si>
    <t>2.408E0±2.499E0</t>
  </si>
  <si>
    <t>3.366E-1±2.34E-1</t>
  </si>
  <si>
    <t>5.008E-2±3.168E-2</t>
  </si>
  <si>
    <t>5.499E0±8.337E0</t>
  </si>
  <si>
    <t>2.239E0±2.85E0</t>
  </si>
  <si>
    <t>6.502E-4±5.11E-4</t>
  </si>
  <si>
    <t>1.856E0±1.211E0</t>
  </si>
  <si>
    <t>1.559E-1±2.128E-1</t>
  </si>
  <si>
    <t>1.185E0±1.099E0</t>
  </si>
  <si>
    <t>8.315E-4±6.405E-4</t>
  </si>
  <si>
    <t>3.378E0±5.412E0</t>
  </si>
  <si>
    <t>3.747E-1±8.356E-1</t>
  </si>
  <si>
    <t>1.179E-2±1.056E-2</t>
  </si>
  <si>
    <t>1.599E-1±2.308E-1</t>
  </si>
  <si>
    <t>1.041E0±1.185E0</t>
  </si>
  <si>
    <t>1.251E-1±4.785E-1</t>
  </si>
  <si>
    <t>1.432E-2±1.301E-2</t>
  </si>
  <si>
    <t>4.332E0±7.81E0</t>
  </si>
  <si>
    <t>2.347E0±3.074E0</t>
  </si>
  <si>
    <t>1.54E-1±1.493E-1</t>
  </si>
  <si>
    <t>3.449E-3±2.48E-3</t>
  </si>
  <si>
    <t>3.572E-1±3.045E-1</t>
  </si>
  <si>
    <t>3.954E-3±3.183E-3</t>
  </si>
  <si>
    <t>3.359E-1±2.71E-1</t>
  </si>
  <si>
    <t>1.13E-2±1.034E-2</t>
  </si>
  <si>
    <t>6.348E-1±6.501E-1</t>
  </si>
  <si>
    <t>3.459E-3±3.064E-3</t>
  </si>
  <si>
    <t>7.339E-2±8.78E-2</t>
  </si>
  <si>
    <t>1.427E0±1.503E0</t>
  </si>
  <si>
    <t>3.947E-4±2.363E-4</t>
  </si>
  <si>
    <t>6.97E0±1.16E1</t>
  </si>
  <si>
    <t>1.036E-3±7.374E-4</t>
  </si>
  <si>
    <t>4.201E-3±7.391E-3</t>
  </si>
  <si>
    <t>2.866E0±6.449E0</t>
  </si>
  <si>
    <t>9.048E-3±4.866E-3</t>
  </si>
  <si>
    <t>5.588E-1±7.609E-1</t>
  </si>
  <si>
    <t>3.537E0±3.537E0</t>
  </si>
  <si>
    <t>3.606E-4±3.165E-4</t>
  </si>
  <si>
    <t>5.62E-3±4.616E-3</t>
  </si>
  <si>
    <t>7.134E-1±1.236E0</t>
  </si>
  <si>
    <t>1.924E0±2.013E0</t>
  </si>
  <si>
    <t>5.668E-4±4.798E-4</t>
  </si>
  <si>
    <t>1.873E-3±1.23E-3</t>
  </si>
  <si>
    <t>3.88E-1±8.593E-1</t>
  </si>
  <si>
    <t>2.57E-2±1.979E-2</t>
  </si>
  <si>
    <t>2.171E-2±2.509E-2</t>
  </si>
  <si>
    <t>3.308E-1±5.205E-1</t>
  </si>
  <si>
    <t>9.162E-3±6.375E-3</t>
  </si>
  <si>
    <t>1.01E-3±8.283E-4</t>
  </si>
  <si>
    <t>5.289E-3±4.359E-3</t>
  </si>
  <si>
    <t>9.361E-4±1.289E-3</t>
  </si>
  <si>
    <t>5.458E-2±1.612E-1</t>
  </si>
  <si>
    <t>5.32E-1±9.532E-1</t>
  </si>
  <si>
    <t>g-PSA-AR-p-T-2</t>
  </si>
  <si>
    <t>g-PSA-AR-p-T-2+RNAp</t>
  </si>
  <si>
    <t>g-PSA-AR-p-T-2-RNAp</t>
  </si>
  <si>
    <t>g-PSA-AR-p-T-2+RNAp+mRNA-PSA</t>
  </si>
  <si>
    <t>g-PSA+AR-p-AR-p-T</t>
  </si>
  <si>
    <t>g-PSA-AR-p-AR-p-T</t>
  </si>
  <si>
    <t>g-PSA-AR-p-AR-p-T+RNAp</t>
  </si>
  <si>
    <t>g-PSA-AR-p-AR-p-T-RNAp</t>
  </si>
  <si>
    <t>g-PSA-AR-p-AR-p-T+RNAp+mRNA-PSA</t>
  </si>
  <si>
    <t>g-PSA+AR-p-DHT-AR-p-T</t>
  </si>
  <si>
    <t>g-PSA-AR-p-DHT-AR-p-T</t>
  </si>
  <si>
    <t>g-PSA-AR-p-DHT-AR-p-T+RNAp</t>
  </si>
  <si>
    <t>g-PSA-AR-p-DHT-AR-p-T-RNAp</t>
  </si>
  <si>
    <t>g-PSA-AR-p-DHT-AR-p-T+RNAp+mRNA-PSA</t>
  </si>
  <si>
    <t>mRNA-CycD+eIF4E</t>
  </si>
  <si>
    <t>mRNA-CycD-eIF4E</t>
  </si>
  <si>
    <t>mRNA-CycD-eIF4E+40S</t>
  </si>
  <si>
    <t>mRNA-CycD-eIF4E-40S</t>
  </si>
  <si>
    <t>mRNA-CycD-eIF4E-40S+60S</t>
  </si>
  <si>
    <t>mRNA-CycD-eIF4E-40S-60S</t>
  </si>
  <si>
    <t>Rm-CycD+eIF4E</t>
  </si>
  <si>
    <t>Rm-CycD</t>
  </si>
  <si>
    <t>Ar-CycD</t>
  </si>
  <si>
    <t>CycD+40S+60S+mRNA-CycD</t>
  </si>
  <si>
    <t>mRNA-PSA+eIF4E</t>
  </si>
  <si>
    <t>mRNA-PSA-eIF4E</t>
  </si>
  <si>
    <t>mRNA-PSA-eIF4E+40S</t>
  </si>
  <si>
    <t>mRNA-PSA-eIF4E-40S</t>
  </si>
  <si>
    <t>mRNA-PSA-eIF4E-40S+60S</t>
  </si>
  <si>
    <t>mRNA-PSA-eIF4E-40S-60S</t>
  </si>
  <si>
    <t>Rm-PSA+eIF4E</t>
  </si>
  <si>
    <t>Rm-PSA</t>
  </si>
  <si>
    <t>Ar-PSA</t>
  </si>
  <si>
    <t>PSA+40S+60S+mRNA-PSA</t>
  </si>
  <si>
    <t>mRNA-CycD</t>
  </si>
  <si>
    <t>mRNA-PSA</t>
  </si>
  <si>
    <t>CycD</t>
  </si>
  <si>
    <t>PSA</t>
  </si>
  <si>
    <t>Act-Akt+Pase7</t>
  </si>
  <si>
    <t>Act-Akt-Pase7</t>
  </si>
  <si>
    <t>Akt+Pase7</t>
  </si>
  <si>
    <t>4E-BP1-eIF4E+Act-TOR</t>
  </si>
  <si>
    <t>4E-BP1-eIF4E-Act-TOR</t>
  </si>
  <si>
    <t>4E-BP1-P+eIF4E+Act-TOR</t>
  </si>
  <si>
    <t>↔</t>
  </si>
  <si>
    <t>→</t>
  </si>
  <si>
    <t>2.215E0±3.196E0</t>
  </si>
  <si>
    <t>1.343E-3±1.947E-3</t>
  </si>
  <si>
    <t>3.701E-1±3.586E-1</t>
  </si>
  <si>
    <t>1.708E-1±1.377E-1</t>
  </si>
  <si>
    <t>1.864E0±2.444E0</t>
  </si>
  <si>
    <t>2.707E-2±7.107E-2</t>
  </si>
  <si>
    <t>4.98E-2±2.815E-2</t>
  </si>
  <si>
    <t>1.756E-1±2.654E-1</t>
  </si>
  <si>
    <t>2.032E-2±2.204E-2</t>
  </si>
  <si>
    <t>1.472E-5±1.213E-5</t>
  </si>
  <si>
    <t>1.068E0±3.282E0</t>
  </si>
  <si>
    <t>7.018E-1±4.517E-1</t>
  </si>
  <si>
    <t>4.244E-1±6.357E-1</t>
  </si>
  <si>
    <t>3.506E0±5.793E0</t>
  </si>
  <si>
    <t>1.159E0±2.35E0</t>
  </si>
  <si>
    <t>5.034E-2±6.075E-2</t>
  </si>
  <si>
    <t>4.104E-3±2.773E-3</t>
  </si>
  <si>
    <t>2.548E-4±2.191E-4</t>
  </si>
  <si>
    <t>2.183E-2±1.842E-2</t>
  </si>
  <si>
    <t>8.377E-1±9.551E-1</t>
  </si>
  <si>
    <t>1.976E-2±2.734E-2</t>
  </si>
  <si>
    <t>9.558E-1±8.677E-1</t>
  </si>
  <si>
    <t>2.395E-1±2.953E-1</t>
  </si>
  <si>
    <t>1.49E0±2.296E0</t>
  </si>
  <si>
    <t>3.623E-2±2.45E-2</t>
  </si>
  <si>
    <t>5.343E-2±5.586E-2</t>
  </si>
  <si>
    <t>3.053E-2±1.959E-2</t>
  </si>
  <si>
    <t>4.568E-1±3.063E-1</t>
  </si>
  <si>
    <t>6.682E-1±7.743E-1</t>
  </si>
  <si>
    <t>2.79E0±1.557E0</t>
  </si>
  <si>
    <t>1.464E0±1.058E0</t>
  </si>
  <si>
    <t>6.464E-3±8.466E-3</t>
  </si>
  <si>
    <t>6.308E-2±4.851E-2</t>
  </si>
  <si>
    <t>8.773E-1±6.182E-1</t>
  </si>
  <si>
    <t>2.065E-1±3.931E-1</t>
  </si>
  <si>
    <t>2.176E-1±2.282E-1</t>
  </si>
  <si>
    <t>9.887E-1±1.048E0</t>
  </si>
  <si>
    <t>1.562E-3±1.142E-3</t>
  </si>
  <si>
    <t>3.755E-2±4.72E-2</t>
  </si>
  <si>
    <t>1.613E-1±1.613E-1</t>
  </si>
  <si>
    <t>3.412E-2±3.79E-2</t>
  </si>
  <si>
    <t>AR+Pase5</t>
  </si>
  <si>
    <t>AR-p-T+Pase5</t>
  </si>
  <si>
    <t>AR-p-T-Pase5</t>
  </si>
  <si>
    <t>AR-T+Pase5</t>
  </si>
  <si>
    <t>AR-p-DHT+Pase5</t>
  </si>
  <si>
    <t>AR-p-DHT-Pase5</t>
  </si>
  <si>
    <t>AR-DHT+Pase5</t>
  </si>
  <si>
    <t>ERK-pp+ETS</t>
  </si>
  <si>
    <t>ERK-pp-ETS</t>
  </si>
  <si>
    <t>ERK-pp+ETS-p</t>
  </si>
  <si>
    <t>ETS-p+Pase5</t>
  </si>
  <si>
    <t>ETS-p-Pase5</t>
  </si>
  <si>
    <t>ETS+Pase5</t>
  </si>
  <si>
    <t>ERK-pp+AP1</t>
  </si>
  <si>
    <t>ERK-pp-AP1</t>
  </si>
  <si>
    <t>ERK-pp+AP1-p</t>
  </si>
  <si>
    <t>AP1-p+Pase6</t>
  </si>
  <si>
    <t>AP1-p-Pase6</t>
  </si>
  <si>
    <t>AP1+Pase6</t>
  </si>
  <si>
    <t>Her2-2-p-Grb2-Sos+PI3K</t>
  </si>
  <si>
    <t>Her2-2-p-Grb2-Sos-PI3K</t>
  </si>
  <si>
    <t>Her2-2-p-Grb2-Sos+Act-PI3K</t>
  </si>
  <si>
    <t>Her2-2-p-Shc-p-Grb2-Sos+PI3K</t>
  </si>
  <si>
    <t>Her2-2-p-Shc-p-Grb2-Sos-PI3K</t>
  </si>
  <si>
    <t>Her2-2-p-Shc-p-Grb2-Sos+Act-PI3K</t>
  </si>
  <si>
    <t>EGFR-EGF-2-p-Grb2-Sos+PI3K</t>
  </si>
  <si>
    <t>EGFR-EGF-2-p-Grb2-Sos-PI3K</t>
  </si>
  <si>
    <t>EGFR-EGF-2-p-Grb2-Sos+Act-PI3K</t>
  </si>
  <si>
    <t>EGFR-EGF-2-p-Shc-p-Grb2-Sos+PI3K</t>
  </si>
  <si>
    <t>EGFR-EGF-2-p-Shc-p-Grb2-Sos-PI3K</t>
  </si>
  <si>
    <t>EGFR-EGF-2-p-Shc-p-Grb2-Sos+Act-PI3K</t>
  </si>
  <si>
    <t>PtdIns2+Act-PI3K</t>
  </si>
  <si>
    <t>PtdIns2-Act-PI3K</t>
  </si>
  <si>
    <t>PtdIns3+Act-PI3K</t>
  </si>
  <si>
    <t>PtdIns3+PTEN</t>
  </si>
  <si>
    <t>PtdIns3-PTEN</t>
  </si>
  <si>
    <t>PtdIns2+PTEN</t>
  </si>
  <si>
    <t>PtdIns3+Akt</t>
  </si>
  <si>
    <t>PtdIns3-Akt</t>
  </si>
  <si>
    <t>PtdIns3+Akt-m</t>
  </si>
  <si>
    <t>PtdIns3+Pdk1</t>
  </si>
  <si>
    <t>PtdIns3-Pdk1</t>
  </si>
  <si>
    <t>PtdIns3+Pdk1-m</t>
  </si>
  <si>
    <t>Pdk1-m+Akt-m</t>
  </si>
  <si>
    <t>Pdk1-m-Akt-m</t>
  </si>
  <si>
    <t>Pdk1+Act-Akt</t>
  </si>
  <si>
    <t>Act-Akt+TOR</t>
  </si>
  <si>
    <t>Act-Akt-TOR</t>
  </si>
  <si>
    <t>Akt+Act-TOR</t>
  </si>
  <si>
    <t>4E-BP1+eIF4E</t>
  </si>
  <si>
    <t>4E-BP1-eIF4E</t>
  </si>
  <si>
    <t>4E-BP1+Act-TOR</t>
  </si>
  <si>
    <t>4E-BP1-Act-TOR</t>
  </si>
  <si>
    <t>4E-BP1-P+Act-TOR</t>
  </si>
  <si>
    <t>T-e</t>
  </si>
  <si>
    <t>T</t>
  </si>
  <si>
    <t>g-CycD+RNAp</t>
  </si>
  <si>
    <t>g-CycD-RNAp</t>
  </si>
  <si>
    <t>g-CycD+RNAp+mRNA-CycD</t>
  </si>
  <si>
    <t>g-CycD+ETS-p</t>
  </si>
  <si>
    <t>g-CycD-ETS-p</t>
  </si>
  <si>
    <t>g-CycD-ETS-p+RNAp</t>
  </si>
  <si>
    <t>g-CycD-ETS-p-RNAp</t>
  </si>
  <si>
    <t>g-CycD-ETS-p+RNAp+mRNA-CycD</t>
  </si>
  <si>
    <t>g-CycD+AP1-p</t>
  </si>
  <si>
    <t>g-CycD-AP1-p</t>
  </si>
  <si>
    <t>g-CycD-AP1-p+RNAp</t>
  </si>
  <si>
    <t>g-CycD-AP1-p-RNAp</t>
  </si>
  <si>
    <t>g-CycD-AP1-p+RNAp+mRNA-CycD</t>
  </si>
  <si>
    <t>g-PSA+RNAp</t>
  </si>
  <si>
    <t>g-PSA-RNAp</t>
  </si>
  <si>
    <t>g-PSA+RNAp+mRNA-PSA</t>
  </si>
  <si>
    <t>g-PSA+AR-p-2</t>
  </si>
  <si>
    <t>g-PSA-AR-p-2</t>
  </si>
  <si>
    <t>g-PSA-AR-p-2+RNAp</t>
  </si>
  <si>
    <t>g-PSA-AR-p-2-RNAp</t>
  </si>
  <si>
    <t>g-PSA-AR-p-2+RNAp+mRNA-PSA</t>
  </si>
  <si>
    <t>g-PSA+AR-p-DHT-2</t>
  </si>
  <si>
    <t>g-PSA-AR-p-DHT-2</t>
  </si>
  <si>
    <t>g-PSA-AR-p-DHT-2+RNAp</t>
  </si>
  <si>
    <t>g-PSA-AR-p-DHT-2-RNAp</t>
  </si>
  <si>
    <t>g-PSA-AR-p-DHT-2+RNAp+mRNA-PSA</t>
  </si>
  <si>
    <t>g-PSA+AR-p-DHT-AR-p</t>
  </si>
  <si>
    <t>g-PSA-AR-p-DHT-AR-p</t>
  </si>
  <si>
    <t>g-PSA-AR-p-DHT-AR-p+RNAp</t>
  </si>
  <si>
    <t>g-PSA-AR-p-DHT-AR-p-RNAp</t>
  </si>
  <si>
    <t>g-PSA-AR-p-DHT-AR-p+RNAp+mRNA-PSA</t>
  </si>
  <si>
    <t>g-PSA+AR-p-T-2</t>
  </si>
  <si>
    <t>MEK+Pase2</t>
  </si>
  <si>
    <t>MEK-pp+Pase2</t>
  </si>
  <si>
    <t>MEK-pp-Pase2</t>
  </si>
  <si>
    <t>ERK-p+Pase3</t>
  </si>
  <si>
    <t>ERK-p-Pase3</t>
  </si>
  <si>
    <t>ERK+Pase3</t>
  </si>
  <si>
    <t>ERK-pp+Pase3</t>
  </si>
  <si>
    <t>ERK-pp-Pase3</t>
  </si>
  <si>
    <t>EGFR-EGF-2-p-Grb2-Sos+ERK-pp</t>
  </si>
  <si>
    <t>EGFR-EGF-2-p-Grb2-Sos-ERK-pp</t>
  </si>
  <si>
    <t>EGFR-EGF-2-p-Grb2+Sos+ERK-pp</t>
  </si>
  <si>
    <t>Her2-2-p-Grb2-Sos+ERK-pp</t>
  </si>
  <si>
    <t>Her2-2-p-Grb2-Sos-ERK-pp</t>
  </si>
  <si>
    <t>Her2-2-p-Grb2+Sos+ERK-pp</t>
  </si>
  <si>
    <t>EGFR-EGF-2-p-Shc-p-Grb2-Sos+ERK-pp</t>
  </si>
  <si>
    <t>EGFR-EGF-2-p-Shc-p-Grb2-Sos-ERK-pp</t>
  </si>
  <si>
    <t>EGFR-EGF-2-p-Shc-p-Grb2+Sos+ERK-pp</t>
  </si>
  <si>
    <t>Her2-2-p-Shc-p-Grb2-Sos+ERK-pp</t>
  </si>
  <si>
    <t>Her2-2-p-Shc-p-Grb2-Sos-ERK-pp</t>
  </si>
  <si>
    <t>Her2-2-p-Shc-p-Grb2+Sos+ERK-pp</t>
  </si>
  <si>
    <t>EGF</t>
  </si>
  <si>
    <t>EGFi</t>
  </si>
  <si>
    <t>EGFR</t>
  </si>
  <si>
    <t>EGFRi</t>
  </si>
  <si>
    <t>EGFR-EGFi</t>
  </si>
  <si>
    <t>EGFRi+EGFi</t>
  </si>
  <si>
    <t>EGFR-EGF-2i</t>
  </si>
  <si>
    <t>2*EGFR-EGFi</t>
  </si>
  <si>
    <t>EGFR-EGF-2-pi</t>
  </si>
  <si>
    <t>EGFR-EGF-2-pi-Grb2</t>
  </si>
  <si>
    <t>EGFR-EGF-2-pi+Grb2</t>
  </si>
  <si>
    <t>EGFR-EGF-2-pi-Grb2-Sos</t>
  </si>
  <si>
    <t>EGFR-EGF-2-pi+Grb2-Sos</t>
  </si>
  <si>
    <t>EGFR-EGF-2-pi-Grb2+Sos</t>
  </si>
  <si>
    <t>EGFR-EGF-2-pi-Grb2-Sos+Ras-GDP</t>
  </si>
  <si>
    <t>EGFR-EGF-2-pi-Grb2-Sos-Ras-GDP</t>
  </si>
  <si>
    <t>EGFR-EGF-2-pi-Grb2-Sos+Ras-GTP</t>
  </si>
  <si>
    <t>EGFR-EGF-2-pi-Grb2-Sos+ERK-pp</t>
  </si>
  <si>
    <t>EGFR-EGF-2-pi-Grb2-Sos-ERK-pp</t>
  </si>
  <si>
    <t>EGFR-EGF-2-pi-Grb2+Sos+ERK-pp</t>
  </si>
  <si>
    <t>EGFR-EGF-2-pi+Shc</t>
  </si>
  <si>
    <t>EGFR-EGF-2-pi-Shc</t>
  </si>
  <si>
    <t>EGFR-EGF-2-pi-Shc-p</t>
  </si>
  <si>
    <t>EGFR-EGF-2-pi+Shc-p</t>
  </si>
  <si>
    <t>EGFR-EGF-2-pi-Shc-p+Grb2</t>
  </si>
  <si>
    <t>EGFR-EGF-2-pi-Shc-p-Grb2</t>
  </si>
  <si>
    <t>EGFR-EGF-2-pi-Shc-p-Grb2+Sos</t>
  </si>
  <si>
    <t>EGFR-EGF-2-pi-Shc-p-Grb2-Sos</t>
  </si>
  <si>
    <t>EGFR-EGF-2-pi+Shc-p-Grb2-Sos</t>
  </si>
  <si>
    <t>EGFR-EGF-2-pi-Shc-p-Grb2-Sos+Ras-GDP</t>
  </si>
  <si>
    <t>EGFR-EGF-2-pi-Shc-p-Grb2-Sos-Ras-GDP</t>
  </si>
  <si>
    <t>EGFR-EGF-2-pi-Shc-p-Grb2-Sos+Ras-GTP</t>
  </si>
  <si>
    <t>EGFR-EGF-2-pi-Shc-p-Grb2-Sos+ERK-pp</t>
  </si>
  <si>
    <t>EGFR-EGF-2-pi-Shc-p-Grb2-Sos-ERK-pp</t>
  </si>
  <si>
    <t>EGFR-EGF-2-pi-Shc-p-Grb2+Sos+ERK-pp</t>
  </si>
  <si>
    <t>AR+ERK-pp</t>
  </si>
  <si>
    <t>AR-ERK-pp</t>
  </si>
  <si>
    <t>AR-p+ERK-pp</t>
  </si>
  <si>
    <t>T+Rase5a</t>
  </si>
  <si>
    <t>T-Rase5a</t>
  </si>
  <si>
    <t>DHT+Rase5a</t>
  </si>
  <si>
    <t>AR+HSP</t>
  </si>
  <si>
    <t>AR-HSP</t>
  </si>
  <si>
    <t>AR+T</t>
  </si>
  <si>
    <t>AR-T</t>
  </si>
  <si>
    <t>AR-p-T</t>
  </si>
  <si>
    <t>AR-p+AR-p-T</t>
  </si>
  <si>
    <t>AR-p-AR-p-T</t>
  </si>
  <si>
    <t>2*AR-p-T</t>
  </si>
  <si>
    <t>AR-p-T-2</t>
  </si>
  <si>
    <t>2*AR-p</t>
  </si>
  <si>
    <t>AR-p-2</t>
  </si>
  <si>
    <t>AR+DHT</t>
  </si>
  <si>
    <t>AR-DHT</t>
  </si>
  <si>
    <t>AR-p-DHT</t>
  </si>
  <si>
    <t>AR-p-DHT+AR-p-T</t>
  </si>
  <si>
    <t>AR-p-DHT-AR-p-T</t>
  </si>
  <si>
    <t>AR-p-DHT+AR-p</t>
  </si>
  <si>
    <t>AR-p-DHT-AR-p</t>
  </si>
  <si>
    <t>2*AR-p-DHT</t>
  </si>
  <si>
    <t>AR-p-DHT-2</t>
  </si>
  <si>
    <t>AR-p+Pase5</t>
  </si>
  <si>
    <t>AR-p-Pase5</t>
  </si>
  <si>
    <t>[26] Jiang X, Sorkin A (2002) Coordinated traffic of grb2 and ras during epidermal growth</t>
  </si>
  <si>
    <t>factor receptor endocytosis visualized in living cells. Mol Biol Cell 13:1522–1535.</t>
  </si>
  <si>
    <t>doi:10.1091/mbc.01-11-0552. URL http://dx.doi.org/10.1091/mbc.01-11-0552.</t>
  </si>
  <si>
    <t>EGF+EGFR</t>
  </si>
  <si>
    <t>EGFR-EGF</t>
  </si>
  <si>
    <t>-</t>
  </si>
  <si>
    <t>2*EGFR-EGF</t>
  </si>
  <si>
    <t>EGFR-EGF-2</t>
  </si>
  <si>
    <t>EGFR-EGF-2-p</t>
  </si>
  <si>
    <t>2*Her2</t>
  </si>
  <si>
    <t>Her2-2</t>
  </si>
  <si>
    <t>Her2-2-p</t>
  </si>
  <si>
    <t>EGFR-EGF-2-p+Grb2</t>
  </si>
  <si>
    <t>EGFR-EGF-2-p-Grb2</t>
  </si>
  <si>
    <t>EGFR-EGF-2-p-Grb2+Sos</t>
  </si>
  <si>
    <t>EGFR-EGF-2-p-Grb2-Sos</t>
  </si>
  <si>
    <t>EGFR-EGF-2-p+Grb2-Sos</t>
  </si>
  <si>
    <t>Grb2+Sos</t>
  </si>
  <si>
    <t>Grb2-Sos</t>
  </si>
  <si>
    <t>EGFR-EGF-2-p-Grb2-Sos+Ras-GDP</t>
  </si>
  <si>
    <t>EGFR-EGF-2-p-Grb2-Sos-Ras-GDP</t>
  </si>
  <si>
    <t>EGFR-EGF-2-p-Grb2-Sos+Ras-GTP</t>
  </si>
  <si>
    <t>Her2-2-p+Grb2</t>
  </si>
  <si>
    <t>Her2-2-p-Grb2</t>
  </si>
  <si>
    <t>Her2-2-p-Grb2+Sos</t>
  </si>
  <si>
    <t>Her2-2-p-Grb2-Sos</t>
  </si>
  <si>
    <t>Her2-2-p+Grb2-Sos</t>
  </si>
  <si>
    <t>Her2-2-p-Grb2-Sos+Ras-GDP</t>
  </si>
  <si>
    <t>Her2-2-p-Grb2-Sos-Ras-GDP</t>
  </si>
  <si>
    <t>Her2-2-p-Grb2-Sos+Ras-GTP</t>
  </si>
  <si>
    <t>EGFR-EGF-2-p+Shc</t>
  </si>
  <si>
    <t>EGFR-EGF-2-p-Shc</t>
  </si>
  <si>
    <t>EGFR-EGF-2-p-Shc-p</t>
  </si>
  <si>
    <t>EGFR-EGF-2-p+Shc-p</t>
  </si>
  <si>
    <t>Shc-p</t>
  </si>
  <si>
    <t>Shc</t>
  </si>
  <si>
    <t>EGFR-EGF-2-p-Shc-p+Grb2</t>
  </si>
  <si>
    <t>EGFR-EGF-2-p-Shc-p-Grb2</t>
  </si>
  <si>
    <t>EGFR-EGF-2-p-Shc-p-Grb2+Sos</t>
  </si>
  <si>
    <t>EGFR-EGF-2-p-Shc-p-Grb2-Sos</t>
  </si>
  <si>
    <t>EGFR-EGF-2-p+Shc-p-Grb2-Sos</t>
  </si>
  <si>
    <t>Shc-p+Grb2-Sos</t>
  </si>
  <si>
    <t>Shc-p-Grb2-Sos</t>
  </si>
  <si>
    <t>EGFR-EGF-2-p-Shc-p-Grb2-Sos+Ras-GDP</t>
  </si>
  <si>
    <t>EGFR-EGF-2-p-Shc-p-Grb2-Sos-Ras-GDP</t>
  </si>
  <si>
    <t>EGFR-EGF-2-p-Shc-p-Grb2-Sos+Ras-GTP</t>
  </si>
  <si>
    <t>Her2-2-p+Shc</t>
  </si>
  <si>
    <t>Her2-2-p-Shc</t>
  </si>
  <si>
    <t>Her2-2-p-Shc-p</t>
  </si>
  <si>
    <t>Her2-2-p+Shc-p</t>
  </si>
  <si>
    <t>Her2-2-p-Shc-p+Grb2</t>
  </si>
  <si>
    <t>Her2-2-p-Shc-p-Grb2</t>
  </si>
  <si>
    <t>Her2-2-p-Shc-p-Grb2+Sos</t>
  </si>
  <si>
    <t>Her2-2-p-Shc-p-Grb2-Sos</t>
  </si>
  <si>
    <t>Her2-2-p+Shc-p-Grb2-Sos</t>
  </si>
  <si>
    <t>Her2-2-p-Shc-p-Grb2-Sos+Ras-GDP</t>
  </si>
  <si>
    <t>Her2-2-p-Shc-p-Grb2-Sos-Ras-GDP</t>
  </si>
  <si>
    <t>Her2-2-p-Shc-p-Grb2-Sos+Ras-GTP</t>
  </si>
  <si>
    <t>Ras-GTP+GAP</t>
  </si>
  <si>
    <t>Ras-GTP-GAP</t>
  </si>
  <si>
    <t>Ras-GDP+GAP</t>
  </si>
  <si>
    <t>Ras-GTP+Raf</t>
  </si>
  <si>
    <t>Ras-GTP-Raf</t>
  </si>
  <si>
    <t>Ras-GTP+Raf-p</t>
  </si>
  <si>
    <t>Raf-p+Pase1</t>
  </si>
  <si>
    <t>Raf-p-Pase1</t>
  </si>
  <si>
    <t>Raf+Pase1</t>
  </si>
  <si>
    <t>MEK+Raf-p</t>
  </si>
  <si>
    <t>MEK-Raf-p</t>
  </si>
  <si>
    <t>MEK-p+Raf-p</t>
  </si>
  <si>
    <t>MEK-p-Raf-p</t>
  </si>
  <si>
    <t>MEK-pp+Raf-p</t>
  </si>
  <si>
    <t>ERK+MEK-pp</t>
  </si>
  <si>
    <t>ERK-MEK-pp</t>
  </si>
  <si>
    <t>ERK-p+MEK-pp</t>
  </si>
  <si>
    <t>ERK-p-MEK-pp</t>
  </si>
  <si>
    <t>ERK-pp+MEK-pp</t>
  </si>
  <si>
    <t>MEK-p+Pase2</t>
  </si>
  <si>
    <t>MEK-p-Pase2</t>
  </si>
  <si>
    <t>mitogen-activated protein kinase and translation initiation. Science 266:653–</t>
  </si>
  <si>
    <t>[18] Richter JD, Sonenberg N (2005) Regulation of cap-dependent translation by eif4e</t>
  </si>
  <si>
    <t>inhibitory proteins. Nature 433:477–480. doi:10.1038/nature03205. URL http://dx.</t>
  </si>
  <si>
    <t>doi.org/10.1038/nature03205.</t>
  </si>
  <si>
    <t>of the translational repressor phas-i by the mammalian target of rapamycin.</t>
  </si>
  <si>
    <t>Science 277:99–101.</t>
  </si>
  <si>
    <t>[20] Kim J, Coetzee GA (2004) Prostate specific antigen gene regulation by androgen</t>
  </si>
  <si>
    <t>receptor. J Cell Biochem 93:233–241. doi:10.1002/jcb.20228. URL http://dx.doi.org/</t>
  </si>
  <si>
    <t>10.1002/jcb.20228.</t>
  </si>
  <si>
    <t>[21] Pemberton LF, Paschal BM (2005) Mechanisms of receptor-mediated nuclear import</t>
  </si>
  <si>
    <t>and nuclear export. Traffic 6:187–198. doi:10.1111/j.1600-0854.2005.00270.x. URL</t>
  </si>
  <si>
    <t>http://dx.doi.org/10.1111/j.1600-0854.2005.00270.x.</t>
  </si>
  <si>
    <t>[22] Veeramani S, Yuan TC, Chen SJ, Lin FF, Petersen JE, et al. (2005) Cellular prostatic</t>
  </si>
  <si>
    <t>acid phosphatase: a protein tyrosine phosphatase involved in androgen-independent</t>
  </si>
  <si>
    <t>proliferation of prostate cancer. Endocr Relat Cancer 12:805–822. doi:10.1677/erc.</t>
  </si>
  <si>
    <t>1.00950. URL http://dx.doi.org/10.1677/erc.1.00950.</t>
  </si>
  <si>
    <t>[23] Merrick WC (2004) Cap-dependent and cap-independent translation in eukaryotic</t>
  </si>
  <si>
    <t>systems. Gene 332:1–11. doi:10.1016/j.gene.2004.02.051. URL http://dx.doi.org/</t>
  </si>
  <si>
    <t>10.1016/j.gene.2004.02.051.</t>
  </si>
  <si>
    <t>[24] Lorsch JR, Herschlag D (1999) Kinetic dissection of fundamental processes of eukaryotic</t>
  </si>
  <si>
    <t>translation initiation in vitro. EMBO J 18:6705–6717. doi:10.1093/emboj/18.</t>
  </si>
  <si>
    <t>23.6705. URL http://dx.doi.org/10.1093/emboj/18.23.6705.</t>
  </si>
  <si>
    <t>[25] Ricci A, Lanfrancone L, Chiari R, Belardo G, Pertica C, et al. (1995) Analysis of</t>
  </si>
  <si>
    <t>protein-protein interactions involved in the activation of the shc/grb-2 pathway by the</t>
  </si>
  <si>
    <t>erbb-2 kinase. Oncogene 11:1519–1529.</t>
  </si>
  <si>
    <t>target genes through map kinase in prostate cancer cells. Proc Natl Acad Sci U S A</t>
  </si>
  <si>
    <t>96:5458–5463.</t>
  </si>
  <si>
    <t>[9] Pozzi P, Bendotti C, Simeoni S, Piccioni F, Guerini V, et al. (2003) Androgen 5-alphareductase</t>
  </si>
  <si>
    <t>type 2 is highly expressed and active in rat spinal cord motor neurones. J</t>
  </si>
  <si>
    <t>Neuroendocrinol 15:882–887.</t>
  </si>
  <si>
    <t>[10] Brinkmann AO, Blok LJ, de Ruiter PE, Doesburg P, Steketee K, et al. (1999) Mechanisms</t>
  </si>
  <si>
    <t>of androgen receptor activation and function. J Steroid Biochem Mol Biol</t>
  </si>
  <si>
    <t>69:307–313.</t>
  </si>
  <si>
    <t>[11] Meng TC, Lee MS, Lin MF (2000) Interaction between protein tyrosine phosphatase</t>
  </si>
  <si>
    <t>and protein tyrosine kinase is involved in androgen-promoted growth of human</t>
  </si>
  <si>
    <t>prostate cancer cells. Oncogene 19:2664–2677. doi:10.1038/sj.onc.1203576. URL</t>
  </si>
  <si>
    <t>http://dx.doi.org/10.1038/sj.onc.1203576.</t>
  </si>
  <si>
    <t>[12] Wilkinson MG, Millar JB (2000) Control of the eukaryotic cell cycle by map kinase</t>
  </si>
  <si>
    <t>signaling pathways. FASEB J 14:2147–2157. doi:10.1096/fj.00-0102rev. URL http:</t>
  </si>
  <si>
    <t>//dx.doi.org/10.1096/fj.00-0102rev.</t>
  </si>
  <si>
    <t>1657. doi:10.1126/science.296.5573.1655. URL http://dx.doi.org/10.1126/science.</t>
  </si>
  <si>
    <t>296.5573.1655.</t>
  </si>
  <si>
    <t>cancer. Nat Rev Cancer 2:489–501. doi:10.1038/nrc839. URL http://dx.doi.org/</t>
  </si>
  <si>
    <t>10.1038/nrc839.</t>
  </si>
  <si>
    <t>[15] Paez J, Sellers WR (2003) Pi3k/pten/akt pathway. a critical mediator of oncogenic</t>
  </si>
  <si>
    <t>signaling. Cancer Treat Res 115:145–167.</t>
  </si>
  <si>
    <t>linkage between the phosphoinositide 3-kinase-akt signaling pathway and the mammalian</t>
  </si>
  <si>
    <t>target of rapamycin in mitogen-stimulated and transformed cells. Cancer Res</t>
  </si>
  <si>
    <t>60:3504–3513.</t>
  </si>
  <si>
    <t>[17] Lin TA, Kong X, Haystead TA, Pause A, Belsham G, et al. (1994) Phas-i as a link between</t>
  </si>
  <si>
    <t>g-ProteinX+RNAp</t>
  </si>
  <si>
    <t>g-ProteinX+TF</t>
  </si>
  <si>
    <t>g-ProteinX-TF</t>
  </si>
  <si>
    <t>g-ProteinX-TF+RNAp</t>
  </si>
  <si>
    <t>g-ProteinX-TF-RNAp</t>
  </si>
  <si>
    <t>g-ProteinX-TF+RNAp+mRNA-ProteinX</t>
  </si>
  <si>
    <t>background binding of RNA polimerase on gene for ProteinX</t>
  </si>
  <si>
    <t xml:space="preserve">formation of ProteinX mRNA </t>
  </si>
  <si>
    <t>transcription factor for ProteinX binds gene for ProteinX</t>
  </si>
  <si>
    <t>transcription factor regulated binding of RNA polimerase</t>
  </si>
  <si>
    <t>[1] Schoeberl B, Eichler-Jonsson C, Gilles ED, Mller G (2002) Computational modeling</t>
  </si>
  <si>
    <t>of the dynamics of the map kinase cascade activated by surface and internalized</t>
  </si>
  <si>
    <t>egf receptors. Nat Biotechnol 20:370–375. doi:10.1038/nbt0402-370. URL http:</t>
  </si>
  <si>
    <t>//dx.doi.org/10.1038/nbt0402-370.</t>
  </si>
  <si>
    <t>[2] Zhou BP, Hu MC, Miller SA, Yu Z, Xia W, et al. (2000) Her-2/neu blocks tumor necrosis</t>
  </si>
  <si>
    <t>factor-induced apoptosis via the akt/nf-kappab pathway. J Biol Chem 275:8027–</t>
  </si>
  <si>
    <t>[3] Kholodenko BN, Demin OV, Moehren G, Hoek JB (1999) Quantification of short term</t>
  </si>
  <si>
    <t>signaling by the epidermal growth factor receptor. J Biol Chem 274:30169–30181.</t>
  </si>
  <si>
    <t>[4] Huang CY, Ferrell JE (1996) Ultrasensitivity in the mitogen-activated protein kinase</t>
  </si>
  <si>
    <t>cascade. Proc Natl Acad Sci U S A 93:10078–10083.</t>
  </si>
  <si>
    <t>[5] Brightman FA, Fell DA (2000) Differential feedback regulation of the mapk cascade</t>
  </si>
  <si>
    <t>underlies the quantitative differences in egf and ngf signalling in pc12 cells. FEBS</t>
  </si>
  <si>
    <t>Lett 482:169–174.</t>
  </si>
  <si>
    <t>[6] Meng TC, Lin MF (1998) Tyrosine phosphorylation of c-erbb-2 is regulated by the</t>
  </si>
  <si>
    <t>cellular form of prostatic acid phosphatase in human prostate cancer cells. J Biol</t>
  </si>
  <si>
    <t>Chem 273:22096–22104.</t>
  </si>
  <si>
    <t>[7] Asthagiri AR, Lauffenburger DA (2001) A computational study of feedback effects</t>
  </si>
  <si>
    <t>on signal dynamics in a mitogen-activated protein kinase (mapk) pathway model.</t>
  </si>
  <si>
    <t>Biotechnol Prog 17:227–239.</t>
  </si>
  <si>
    <t>[8] Yeh S, Lin HK, Kang HY, Thin TH, Lin MF, et al. (1999) From her2/neu signal cascade</t>
  </si>
  <si>
    <t>to androgen receptor and its coactivators: a novel pathway by induction of androgen</t>
  </si>
  <si>
    <t># of rxns</t>
  </si>
  <si>
    <t>Total # of reactions</t>
  </si>
  <si>
    <t>Index</t>
  </si>
  <si>
    <t>0,1</t>
  </si>
  <si>
    <t>2,3</t>
  </si>
  <si>
    <t>6,7</t>
  </si>
  <si>
    <t>8,9</t>
  </si>
  <si>
    <t>10,11</t>
  </si>
  <si>
    <t>12,13</t>
  </si>
  <si>
    <t>14,15</t>
  </si>
  <si>
    <t>16,17</t>
  </si>
  <si>
    <t>18,19</t>
  </si>
  <si>
    <t>21,22</t>
  </si>
  <si>
    <t>23,24</t>
  </si>
  <si>
    <t>25,26</t>
  </si>
  <si>
    <t>27,28</t>
  </si>
  <si>
    <t>30,31</t>
  </si>
  <si>
    <t>33,34</t>
  </si>
  <si>
    <t>36,37</t>
  </si>
  <si>
    <t>38,39</t>
  </si>
  <si>
    <t>40,41</t>
  </si>
  <si>
    <t>42,43</t>
  </si>
  <si>
    <t>44,45</t>
  </si>
  <si>
    <t>47,48</t>
  </si>
  <si>
    <t>50,51</t>
  </si>
  <si>
    <t>52,53</t>
  </si>
  <si>
    <t>54,55</t>
  </si>
  <si>
    <t>56,57</t>
  </si>
  <si>
    <t>58,59</t>
  </si>
  <si>
    <t>61,62</t>
  </si>
  <si>
    <t>64,65</t>
  </si>
  <si>
    <t>67,68</t>
  </si>
  <si>
    <t>70,71</t>
  </si>
  <si>
    <t>73,74</t>
  </si>
  <si>
    <t>76,77</t>
  </si>
  <si>
    <t>79,80</t>
  </si>
  <si>
    <t>82,83</t>
  </si>
  <si>
    <t>85,86</t>
  </si>
  <si>
    <t>88,89</t>
  </si>
  <si>
    <t>91,92</t>
  </si>
  <si>
    <t>94,95</t>
  </si>
  <si>
    <t>97,98</t>
  </si>
  <si>
    <t>&lt;-&gt;</t>
  </si>
  <si>
    <t>--&gt;</t>
  </si>
  <si>
    <t>EGFR-EGF+EGFR-EGF</t>
  </si>
  <si>
    <t>Her2+Her2</t>
  </si>
  <si>
    <t>EGFR-EGFi+EGFR-EGFi</t>
  </si>
  <si>
    <t>AR-p-T+AR-p-T</t>
  </si>
  <si>
    <t>AR-p+AR-p</t>
  </si>
  <si>
    <t>AR-p-DHT+AR-p-DHT</t>
  </si>
  <si>
    <t>cPAcP+cPAcP</t>
  </si>
  <si>
    <t>cPAcP-2+cPAcP-2</t>
  </si>
  <si>
    <t>Her2-2-p+Her2-2-p+cPAcP-2</t>
  </si>
  <si>
    <t>Her2-2-p+Her2-2-p+Her2-2-p+Her2-2-p+cPAcP-4</t>
  </si>
  <si>
    <r>
      <t>◊</t>
    </r>
    <r>
      <rPr>
        <sz val="10"/>
        <rFont val="Arial"/>
        <family val="2"/>
      </rPr>
      <t xml:space="preserve"> - The regulation of PAcP isoforms, PSA and cyclin D was implemented using the same translation/transcription heuristic, save any specific transcription factors.  The translation heuristic includes the formation of a simplified initiation complex.</t>
    </r>
  </si>
  <si>
    <t>† - Inferred from  collaboration with Prosetta Corporation.</t>
  </si>
  <si>
    <t>PySB Model Reactions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</si>
</sst>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quotePrefix="1" applyFont="1" applyFill="1"/>
    <xf numFmtId="3" fontId="1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6147-C31D-C346-99A7-023AC63E98C0}">
  <dimension ref="A1:R356"/>
  <sheetViews>
    <sheetView tabSelected="1" zoomScale="216" zoomScaleNormal="170" workbookViewId="0">
      <selection activeCell="E7" sqref="E7"/>
    </sheetView>
  </sheetViews>
  <sheetFormatPr baseColWidth="10" defaultColWidth="8.83203125" defaultRowHeight="13" x14ac:dyDescent="0.15"/>
  <cols>
    <col min="1" max="1" width="8.83203125" style="5"/>
    <col min="2" max="2" width="8.83203125" style="6"/>
    <col min="3" max="3" width="43.1640625" customWidth="1"/>
    <col min="4" max="4" width="5.1640625" customWidth="1"/>
    <col min="5" max="5" width="41.6640625" customWidth="1"/>
    <col min="6" max="6" width="19.5" customWidth="1"/>
    <col min="7" max="7" width="19" customWidth="1"/>
    <col min="8" max="8" width="19.5" customWidth="1"/>
    <col min="9" max="9" width="8.83203125" style="5"/>
    <col min="11" max="11" width="7.6640625" style="6" bestFit="1" customWidth="1"/>
    <col min="12" max="12" width="34.83203125" style="4" bestFit="1" customWidth="1"/>
    <col min="13" max="13" width="3.6640625" style="4" bestFit="1" customWidth="1"/>
    <col min="14" max="14" width="36.6640625" style="4" bestFit="1" customWidth="1"/>
    <col min="15" max="15" width="4.6640625" bestFit="1" customWidth="1"/>
    <col min="17" max="17" width="39.33203125" bestFit="1" customWidth="1"/>
    <col min="18" max="18" width="10.33203125" bestFit="1" customWidth="1"/>
  </cols>
  <sheetData>
    <row r="1" spans="1:18" x14ac:dyDescent="0.15">
      <c r="A1" s="3" t="s">
        <v>880</v>
      </c>
      <c r="B1" s="3" t="s">
        <v>882</v>
      </c>
      <c r="C1" s="2" t="s">
        <v>194</v>
      </c>
      <c r="D1" s="2"/>
      <c r="E1" s="2"/>
      <c r="F1" s="2"/>
      <c r="G1" s="2"/>
      <c r="H1" s="2"/>
      <c r="I1" s="3"/>
    </row>
    <row r="2" spans="1:18" x14ac:dyDescent="0.15">
      <c r="C2" s="13" t="s">
        <v>195</v>
      </c>
      <c r="D2" s="13"/>
      <c r="E2" s="13"/>
      <c r="F2" s="3" t="s">
        <v>196</v>
      </c>
      <c r="G2" s="3" t="s">
        <v>197</v>
      </c>
      <c r="H2" s="3" t="s">
        <v>198</v>
      </c>
      <c r="I2" s="3" t="s">
        <v>199</v>
      </c>
      <c r="K2" s="13" t="s">
        <v>936</v>
      </c>
      <c r="L2" s="13"/>
      <c r="M2" s="13"/>
      <c r="N2" s="13"/>
    </row>
    <row r="3" spans="1:18" x14ac:dyDescent="0.15">
      <c r="A3" s="5">
        <f>IF(D3="→",1,2)</f>
        <v>2</v>
      </c>
      <c r="B3" s="6">
        <v>1</v>
      </c>
      <c r="C3" s="4" t="s">
        <v>723</v>
      </c>
      <c r="D3" t="s">
        <v>506</v>
      </c>
      <c r="E3" s="4" t="s">
        <v>724</v>
      </c>
      <c r="F3" t="s">
        <v>508</v>
      </c>
      <c r="G3" t="s">
        <v>509</v>
      </c>
      <c r="H3" t="s">
        <v>725</v>
      </c>
      <c r="I3" s="5">
        <v>1</v>
      </c>
      <c r="K3" s="10" t="s">
        <v>883</v>
      </c>
      <c r="L3" s="9" t="s">
        <v>723</v>
      </c>
      <c r="M3" s="9" t="s">
        <v>922</v>
      </c>
      <c r="N3" s="9" t="s">
        <v>724</v>
      </c>
      <c r="O3" t="str">
        <f>IF(L3=C3,"YES","NO")</f>
        <v>YES</v>
      </c>
      <c r="P3" t="str">
        <f>IF(N3=E3,"YES","NO")</f>
        <v>YES</v>
      </c>
      <c r="Q3" s="4"/>
      <c r="R3" s="4"/>
    </row>
    <row r="4" spans="1:18" x14ac:dyDescent="0.15">
      <c r="A4" s="5">
        <f t="shared" ref="A3:A66" si="0">IF(D4="→",1,2)</f>
        <v>2</v>
      </c>
      <c r="B4" s="6">
        <v>2</v>
      </c>
      <c r="C4" t="s">
        <v>726</v>
      </c>
      <c r="D4" t="s">
        <v>506</v>
      </c>
      <c r="E4" t="s">
        <v>727</v>
      </c>
      <c r="F4" t="s">
        <v>510</v>
      </c>
      <c r="G4" t="s">
        <v>511</v>
      </c>
      <c r="H4" t="s">
        <v>725</v>
      </c>
      <c r="I4" s="5">
        <v>1</v>
      </c>
      <c r="K4" s="10" t="s">
        <v>884</v>
      </c>
      <c r="L4" s="9" t="s">
        <v>726</v>
      </c>
      <c r="M4" s="9" t="s">
        <v>922</v>
      </c>
      <c r="N4" s="9" t="s">
        <v>727</v>
      </c>
      <c r="O4" t="str">
        <f t="shared" ref="O4:O67" si="1">IF(L4=C4,"YES","NO")</f>
        <v>YES</v>
      </c>
      <c r="P4" t="str">
        <f t="shared" ref="P4:P67" si="2">IF(N4=E4,"YES","NO")</f>
        <v>YES</v>
      </c>
      <c r="Q4" s="9" t="s">
        <v>924</v>
      </c>
      <c r="R4" s="4"/>
    </row>
    <row r="5" spans="1:18" x14ac:dyDescent="0.15">
      <c r="A5" s="5">
        <f t="shared" si="0"/>
        <v>2</v>
      </c>
      <c r="B5" s="6">
        <v>3</v>
      </c>
      <c r="C5" t="s">
        <v>727</v>
      </c>
      <c r="D5" t="s">
        <v>506</v>
      </c>
      <c r="E5" t="s">
        <v>728</v>
      </c>
      <c r="F5" t="s">
        <v>512</v>
      </c>
      <c r="G5" t="s">
        <v>513</v>
      </c>
      <c r="H5" t="s">
        <v>725</v>
      </c>
      <c r="I5" s="5">
        <v>1</v>
      </c>
      <c r="K5" s="10" t="s">
        <v>74</v>
      </c>
      <c r="L5" s="9" t="s">
        <v>727</v>
      </c>
      <c r="M5" s="9" t="s">
        <v>922</v>
      </c>
      <c r="N5" s="9" t="s">
        <v>728</v>
      </c>
      <c r="O5" t="str">
        <f t="shared" si="1"/>
        <v>YES</v>
      </c>
      <c r="P5" t="str">
        <f t="shared" si="2"/>
        <v>YES</v>
      </c>
    </row>
    <row r="6" spans="1:18" x14ac:dyDescent="0.15">
      <c r="A6" s="5">
        <f t="shared" si="0"/>
        <v>2</v>
      </c>
      <c r="B6" s="6">
        <v>4</v>
      </c>
      <c r="C6" t="s">
        <v>729</v>
      </c>
      <c r="D6" t="s">
        <v>506</v>
      </c>
      <c r="E6" t="s">
        <v>730</v>
      </c>
      <c r="F6" s="4" t="s">
        <v>514</v>
      </c>
      <c r="G6" t="s">
        <v>515</v>
      </c>
      <c r="H6" t="s">
        <v>725</v>
      </c>
      <c r="I6" s="5" t="s">
        <v>73</v>
      </c>
      <c r="K6" s="10" t="s">
        <v>885</v>
      </c>
      <c r="L6" s="9" t="s">
        <v>729</v>
      </c>
      <c r="M6" s="9" t="s">
        <v>922</v>
      </c>
      <c r="N6" s="9" t="s">
        <v>730</v>
      </c>
      <c r="O6" t="str">
        <f t="shared" si="1"/>
        <v>YES</v>
      </c>
      <c r="P6" t="str">
        <f t="shared" si="2"/>
        <v>YES</v>
      </c>
      <c r="Q6" s="9" t="s">
        <v>925</v>
      </c>
    </row>
    <row r="7" spans="1:18" x14ac:dyDescent="0.15">
      <c r="A7" s="5">
        <f t="shared" si="0"/>
        <v>2</v>
      </c>
      <c r="B7" s="6">
        <v>5</v>
      </c>
      <c r="C7" t="s">
        <v>730</v>
      </c>
      <c r="D7" t="s">
        <v>506</v>
      </c>
      <c r="E7" t="s">
        <v>731</v>
      </c>
      <c r="F7" t="s">
        <v>516</v>
      </c>
      <c r="G7" t="s">
        <v>517</v>
      </c>
      <c r="H7" t="s">
        <v>725</v>
      </c>
      <c r="I7" s="5">
        <v>2</v>
      </c>
      <c r="K7" s="10" t="s">
        <v>886</v>
      </c>
      <c r="L7" s="9" t="s">
        <v>730</v>
      </c>
      <c r="M7" s="9" t="s">
        <v>922</v>
      </c>
      <c r="N7" s="9" t="s">
        <v>731</v>
      </c>
      <c r="O7" t="str">
        <f t="shared" si="1"/>
        <v>YES</v>
      </c>
      <c r="P7" t="str">
        <f t="shared" si="2"/>
        <v>YES</v>
      </c>
    </row>
    <row r="8" spans="1:18" x14ac:dyDescent="0.15">
      <c r="A8" s="5">
        <f t="shared" si="0"/>
        <v>2</v>
      </c>
      <c r="B8" s="6">
        <v>6</v>
      </c>
      <c r="C8" t="s">
        <v>732</v>
      </c>
      <c r="D8" s="1" t="s">
        <v>506</v>
      </c>
      <c r="E8" t="s">
        <v>733</v>
      </c>
      <c r="F8" t="s">
        <v>518</v>
      </c>
      <c r="G8" t="s">
        <v>519</v>
      </c>
      <c r="H8" t="s">
        <v>725</v>
      </c>
      <c r="I8" s="5">
        <v>3</v>
      </c>
      <c r="K8" s="10" t="s">
        <v>887</v>
      </c>
      <c r="L8" s="9" t="s">
        <v>732</v>
      </c>
      <c r="M8" s="9" t="s">
        <v>922</v>
      </c>
      <c r="N8" s="9" t="s">
        <v>733</v>
      </c>
      <c r="O8" t="str">
        <f t="shared" si="1"/>
        <v>YES</v>
      </c>
      <c r="P8" t="str">
        <f t="shared" si="2"/>
        <v>YES</v>
      </c>
    </row>
    <row r="9" spans="1:18" x14ac:dyDescent="0.15">
      <c r="A9" s="5">
        <f t="shared" si="0"/>
        <v>2</v>
      </c>
      <c r="B9" s="6">
        <v>7</v>
      </c>
      <c r="C9" t="s">
        <v>734</v>
      </c>
      <c r="D9" t="s">
        <v>506</v>
      </c>
      <c r="E9" t="s">
        <v>735</v>
      </c>
      <c r="F9" t="s">
        <v>520</v>
      </c>
      <c r="G9" t="s">
        <v>521</v>
      </c>
      <c r="H9" t="s">
        <v>725</v>
      </c>
      <c r="I9" s="5">
        <v>3</v>
      </c>
      <c r="K9" s="10" t="s">
        <v>888</v>
      </c>
      <c r="L9" s="9" t="s">
        <v>734</v>
      </c>
      <c r="M9" s="9" t="s">
        <v>922</v>
      </c>
      <c r="N9" s="9" t="s">
        <v>735</v>
      </c>
      <c r="O9" t="str">
        <f t="shared" si="1"/>
        <v>YES</v>
      </c>
      <c r="P9" t="str">
        <f t="shared" si="2"/>
        <v>YES</v>
      </c>
    </row>
    <row r="10" spans="1:18" x14ac:dyDescent="0.15">
      <c r="A10" s="5">
        <f t="shared" si="0"/>
        <v>2</v>
      </c>
      <c r="B10" s="6">
        <v>8</v>
      </c>
      <c r="C10" t="s">
        <v>735</v>
      </c>
      <c r="D10" t="s">
        <v>506</v>
      </c>
      <c r="E10" t="s">
        <v>736</v>
      </c>
      <c r="F10" t="s">
        <v>522</v>
      </c>
      <c r="G10" t="s">
        <v>523</v>
      </c>
      <c r="H10" t="s">
        <v>725</v>
      </c>
      <c r="I10" s="5">
        <v>3</v>
      </c>
      <c r="K10" s="10" t="s">
        <v>889</v>
      </c>
      <c r="L10" s="9" t="s">
        <v>735</v>
      </c>
      <c r="M10" s="9" t="s">
        <v>922</v>
      </c>
      <c r="N10" s="9" t="s">
        <v>736</v>
      </c>
      <c r="O10" t="str">
        <f t="shared" si="1"/>
        <v>YES</v>
      </c>
      <c r="P10" t="str">
        <f t="shared" si="2"/>
        <v>YES</v>
      </c>
    </row>
    <row r="11" spans="1:18" x14ac:dyDescent="0.15">
      <c r="A11" s="5">
        <f t="shared" si="0"/>
        <v>2</v>
      </c>
      <c r="B11" s="6">
        <v>9</v>
      </c>
      <c r="C11" t="s">
        <v>737</v>
      </c>
      <c r="D11" t="s">
        <v>506</v>
      </c>
      <c r="E11" t="s">
        <v>738</v>
      </c>
      <c r="F11" t="s">
        <v>524</v>
      </c>
      <c r="G11" t="s">
        <v>525</v>
      </c>
      <c r="H11" t="s">
        <v>725</v>
      </c>
      <c r="I11" s="5">
        <v>3</v>
      </c>
      <c r="K11" s="10" t="s">
        <v>890</v>
      </c>
      <c r="L11" s="9" t="s">
        <v>737</v>
      </c>
      <c r="M11" s="9" t="s">
        <v>922</v>
      </c>
      <c r="N11" s="9" t="s">
        <v>738</v>
      </c>
      <c r="O11" t="str">
        <f t="shared" si="1"/>
        <v>YES</v>
      </c>
      <c r="P11" t="str">
        <f t="shared" si="2"/>
        <v>YES</v>
      </c>
    </row>
    <row r="12" spans="1:18" x14ac:dyDescent="0.15">
      <c r="A12" s="5">
        <f t="shared" si="0"/>
        <v>2</v>
      </c>
      <c r="B12" s="6">
        <v>10</v>
      </c>
      <c r="C12" t="s">
        <v>739</v>
      </c>
      <c r="D12" t="s">
        <v>506</v>
      </c>
      <c r="E12" t="s">
        <v>740</v>
      </c>
      <c r="F12" t="s">
        <v>526</v>
      </c>
      <c r="G12" t="s">
        <v>527</v>
      </c>
      <c r="H12" t="s">
        <v>725</v>
      </c>
      <c r="I12" s="5" t="s">
        <v>74</v>
      </c>
      <c r="K12" s="10" t="s">
        <v>891</v>
      </c>
      <c r="L12" s="9" t="s">
        <v>739</v>
      </c>
      <c r="M12" s="9" t="s">
        <v>922</v>
      </c>
      <c r="N12" s="9" t="s">
        <v>740</v>
      </c>
      <c r="O12" t="str">
        <f t="shared" si="1"/>
        <v>YES</v>
      </c>
      <c r="P12" t="str">
        <f t="shared" si="2"/>
        <v>YES</v>
      </c>
    </row>
    <row r="13" spans="1:18" x14ac:dyDescent="0.15">
      <c r="A13" s="5">
        <f t="shared" si="0"/>
        <v>1</v>
      </c>
      <c r="B13" s="6">
        <v>11</v>
      </c>
      <c r="C13" t="s">
        <v>740</v>
      </c>
      <c r="D13" s="1" t="s">
        <v>507</v>
      </c>
      <c r="E13" t="s">
        <v>741</v>
      </c>
      <c r="F13" t="s">
        <v>725</v>
      </c>
      <c r="G13" t="s">
        <v>725</v>
      </c>
      <c r="H13" t="s">
        <v>269</v>
      </c>
      <c r="I13" s="5" t="s">
        <v>74</v>
      </c>
      <c r="K13" s="10">
        <v>20</v>
      </c>
      <c r="L13" s="9" t="s">
        <v>740</v>
      </c>
      <c r="M13" s="11" t="s">
        <v>923</v>
      </c>
      <c r="N13" s="9" t="s">
        <v>741</v>
      </c>
      <c r="O13" t="str">
        <f t="shared" si="1"/>
        <v>YES</v>
      </c>
      <c r="P13" t="str">
        <f t="shared" si="2"/>
        <v>YES</v>
      </c>
    </row>
    <row r="14" spans="1:18" x14ac:dyDescent="0.15">
      <c r="A14" s="5">
        <f t="shared" si="0"/>
        <v>2</v>
      </c>
      <c r="B14" s="6">
        <v>12</v>
      </c>
      <c r="C14" t="s">
        <v>742</v>
      </c>
      <c r="D14" t="s">
        <v>506</v>
      </c>
      <c r="E14" t="s">
        <v>743</v>
      </c>
      <c r="F14" t="s">
        <v>528</v>
      </c>
      <c r="G14" t="s">
        <v>529</v>
      </c>
      <c r="H14" t="s">
        <v>725</v>
      </c>
      <c r="I14" s="5" t="s">
        <v>73</v>
      </c>
      <c r="K14" s="10" t="s">
        <v>892</v>
      </c>
      <c r="L14" s="9" t="s">
        <v>742</v>
      </c>
      <c r="M14" s="9" t="s">
        <v>922</v>
      </c>
      <c r="N14" s="9" t="s">
        <v>743</v>
      </c>
      <c r="O14" t="str">
        <f t="shared" si="1"/>
        <v>YES</v>
      </c>
      <c r="P14" t="str">
        <f t="shared" si="2"/>
        <v>YES</v>
      </c>
    </row>
    <row r="15" spans="1:18" x14ac:dyDescent="0.15">
      <c r="A15" s="5">
        <f t="shared" si="0"/>
        <v>2</v>
      </c>
      <c r="B15" s="6">
        <v>13</v>
      </c>
      <c r="C15" t="s">
        <v>744</v>
      </c>
      <c r="D15" t="s">
        <v>506</v>
      </c>
      <c r="E15" t="s">
        <v>745</v>
      </c>
      <c r="F15" t="s">
        <v>530</v>
      </c>
      <c r="G15" t="s">
        <v>531</v>
      </c>
      <c r="H15" t="s">
        <v>725</v>
      </c>
      <c r="I15" s="5" t="s">
        <v>73</v>
      </c>
      <c r="K15" s="10" t="s">
        <v>893</v>
      </c>
      <c r="L15" s="9" t="s">
        <v>744</v>
      </c>
      <c r="M15" s="9" t="s">
        <v>922</v>
      </c>
      <c r="N15" s="9" t="s">
        <v>745</v>
      </c>
      <c r="O15" t="str">
        <f t="shared" si="1"/>
        <v>YES</v>
      </c>
      <c r="P15" t="str">
        <f t="shared" si="2"/>
        <v>YES</v>
      </c>
    </row>
    <row r="16" spans="1:18" x14ac:dyDescent="0.15">
      <c r="A16" s="5">
        <f t="shared" si="0"/>
        <v>2</v>
      </c>
      <c r="B16" s="6">
        <v>14</v>
      </c>
      <c r="C16" t="s">
        <v>745</v>
      </c>
      <c r="D16" t="s">
        <v>506</v>
      </c>
      <c r="E16" t="s">
        <v>746</v>
      </c>
      <c r="F16" t="s">
        <v>532</v>
      </c>
      <c r="G16" t="s">
        <v>533</v>
      </c>
      <c r="H16" t="s">
        <v>725</v>
      </c>
      <c r="I16" s="5" t="s">
        <v>73</v>
      </c>
      <c r="K16" s="10" t="s">
        <v>894</v>
      </c>
      <c r="L16" s="9" t="s">
        <v>745</v>
      </c>
      <c r="M16" s="9" t="s">
        <v>922</v>
      </c>
      <c r="N16" s="9" t="s">
        <v>746</v>
      </c>
      <c r="O16" t="str">
        <f t="shared" si="1"/>
        <v>YES</v>
      </c>
      <c r="P16" t="str">
        <f t="shared" si="2"/>
        <v>YES</v>
      </c>
    </row>
    <row r="17" spans="1:16" x14ac:dyDescent="0.15">
      <c r="A17" s="5">
        <f t="shared" si="0"/>
        <v>2</v>
      </c>
      <c r="B17" s="6">
        <v>15</v>
      </c>
      <c r="C17" t="s">
        <v>747</v>
      </c>
      <c r="D17" t="s">
        <v>506</v>
      </c>
      <c r="E17" t="s">
        <v>748</v>
      </c>
      <c r="F17" t="s">
        <v>534</v>
      </c>
      <c r="G17" t="s">
        <v>535</v>
      </c>
      <c r="H17" t="s">
        <v>725</v>
      </c>
      <c r="I17" s="5" t="s">
        <v>73</v>
      </c>
      <c r="K17" s="10" t="s">
        <v>895</v>
      </c>
      <c r="L17" s="9" t="s">
        <v>747</v>
      </c>
      <c r="M17" s="9" t="s">
        <v>922</v>
      </c>
      <c r="N17" s="9" t="s">
        <v>748</v>
      </c>
      <c r="O17" t="str">
        <f t="shared" si="1"/>
        <v>YES</v>
      </c>
      <c r="P17" t="str">
        <f t="shared" si="2"/>
        <v>YES</v>
      </c>
    </row>
    <row r="18" spans="1:16" x14ac:dyDescent="0.15">
      <c r="A18" s="5">
        <f t="shared" si="0"/>
        <v>1</v>
      </c>
      <c r="B18" s="6">
        <v>16</v>
      </c>
      <c r="C18" t="s">
        <v>748</v>
      </c>
      <c r="D18" s="4" t="s">
        <v>507</v>
      </c>
      <c r="E18" t="s">
        <v>749</v>
      </c>
      <c r="F18" t="s">
        <v>725</v>
      </c>
      <c r="G18" t="s">
        <v>725</v>
      </c>
      <c r="H18" t="s">
        <v>270</v>
      </c>
      <c r="I18" s="5" t="s">
        <v>73</v>
      </c>
      <c r="K18" s="10">
        <v>29</v>
      </c>
      <c r="L18" s="9" t="s">
        <v>748</v>
      </c>
      <c r="M18" s="11" t="s">
        <v>923</v>
      </c>
      <c r="N18" s="9" t="s">
        <v>749</v>
      </c>
      <c r="O18" t="str">
        <f t="shared" si="1"/>
        <v>YES</v>
      </c>
      <c r="P18" t="str">
        <f t="shared" si="2"/>
        <v>YES</v>
      </c>
    </row>
    <row r="19" spans="1:16" x14ac:dyDescent="0.15">
      <c r="A19" s="5">
        <f t="shared" si="0"/>
        <v>2</v>
      </c>
      <c r="B19" s="6">
        <v>17</v>
      </c>
      <c r="C19" t="s">
        <v>750</v>
      </c>
      <c r="D19" t="s">
        <v>506</v>
      </c>
      <c r="E19" t="s">
        <v>751</v>
      </c>
      <c r="F19" t="s">
        <v>536</v>
      </c>
      <c r="G19" t="s">
        <v>537</v>
      </c>
      <c r="H19" t="s">
        <v>725</v>
      </c>
      <c r="I19" s="5">
        <v>3</v>
      </c>
      <c r="K19" s="10" t="s">
        <v>896</v>
      </c>
      <c r="L19" s="9" t="s">
        <v>750</v>
      </c>
      <c r="M19" s="9" t="s">
        <v>922</v>
      </c>
      <c r="N19" s="9" t="s">
        <v>751</v>
      </c>
      <c r="O19" t="str">
        <f t="shared" si="1"/>
        <v>YES</v>
      </c>
      <c r="P19" t="str">
        <f t="shared" si="2"/>
        <v>YES</v>
      </c>
    </row>
    <row r="20" spans="1:16" x14ac:dyDescent="0.15">
      <c r="A20" s="5">
        <f t="shared" si="0"/>
        <v>1</v>
      </c>
      <c r="B20" s="6">
        <v>18</v>
      </c>
      <c r="C20" t="s">
        <v>751</v>
      </c>
      <c r="D20" t="s">
        <v>507</v>
      </c>
      <c r="E20" t="s">
        <v>752</v>
      </c>
      <c r="F20" t="s">
        <v>725</v>
      </c>
      <c r="G20" t="s">
        <v>725</v>
      </c>
      <c r="H20" t="s">
        <v>271</v>
      </c>
      <c r="I20" s="5">
        <v>3</v>
      </c>
      <c r="K20" s="10">
        <v>32</v>
      </c>
      <c r="L20" s="9" t="s">
        <v>751</v>
      </c>
      <c r="M20" s="11" t="s">
        <v>923</v>
      </c>
      <c r="N20" s="9" t="s">
        <v>752</v>
      </c>
      <c r="O20" t="str">
        <f t="shared" si="1"/>
        <v>YES</v>
      </c>
      <c r="P20" t="str">
        <f t="shared" si="2"/>
        <v>YES</v>
      </c>
    </row>
    <row r="21" spans="1:16" x14ac:dyDescent="0.15">
      <c r="A21" s="5">
        <f t="shared" si="0"/>
        <v>2</v>
      </c>
      <c r="B21" s="6">
        <v>19</v>
      </c>
      <c r="C21" t="s">
        <v>752</v>
      </c>
      <c r="D21" t="s">
        <v>506</v>
      </c>
      <c r="E21" t="s">
        <v>753</v>
      </c>
      <c r="F21" t="s">
        <v>538</v>
      </c>
      <c r="G21" t="s">
        <v>539</v>
      </c>
      <c r="H21" t="s">
        <v>725</v>
      </c>
      <c r="I21" s="5">
        <v>3</v>
      </c>
      <c r="K21" s="10" t="s">
        <v>897</v>
      </c>
      <c r="L21" s="9" t="s">
        <v>752</v>
      </c>
      <c r="M21" s="9" t="s">
        <v>922</v>
      </c>
      <c r="N21" s="9" t="s">
        <v>753</v>
      </c>
      <c r="O21" t="str">
        <f t="shared" si="1"/>
        <v>YES</v>
      </c>
      <c r="P21" t="str">
        <f t="shared" si="2"/>
        <v>YES</v>
      </c>
    </row>
    <row r="22" spans="1:16" x14ac:dyDescent="0.15">
      <c r="A22" s="5">
        <f t="shared" si="0"/>
        <v>1</v>
      </c>
      <c r="B22" s="6">
        <v>20</v>
      </c>
      <c r="C22" t="s">
        <v>754</v>
      </c>
      <c r="D22" t="s">
        <v>507</v>
      </c>
      <c r="E22" t="s">
        <v>755</v>
      </c>
      <c r="F22" t="s">
        <v>725</v>
      </c>
      <c r="G22" t="s">
        <v>725</v>
      </c>
      <c r="H22" t="s">
        <v>272</v>
      </c>
      <c r="I22" s="5">
        <v>3</v>
      </c>
      <c r="K22" s="10">
        <v>35</v>
      </c>
      <c r="L22" s="9" t="s">
        <v>754</v>
      </c>
      <c r="M22" s="11" t="s">
        <v>923</v>
      </c>
      <c r="N22" s="9" t="s">
        <v>755</v>
      </c>
      <c r="O22" t="str">
        <f t="shared" si="1"/>
        <v>YES</v>
      </c>
      <c r="P22" t="str">
        <f t="shared" si="2"/>
        <v>YES</v>
      </c>
    </row>
    <row r="23" spans="1:16" x14ac:dyDescent="0.15">
      <c r="A23" s="5">
        <f t="shared" si="0"/>
        <v>2</v>
      </c>
      <c r="B23" s="6">
        <v>21</v>
      </c>
      <c r="C23" t="s">
        <v>756</v>
      </c>
      <c r="D23" t="s">
        <v>506</v>
      </c>
      <c r="E23" t="s">
        <v>757</v>
      </c>
      <c r="F23" t="s">
        <v>540</v>
      </c>
      <c r="G23" t="s">
        <v>541</v>
      </c>
      <c r="H23" t="s">
        <v>725</v>
      </c>
      <c r="I23" s="5">
        <v>3</v>
      </c>
      <c r="K23" s="10" t="s">
        <v>898</v>
      </c>
      <c r="L23" s="9" t="s">
        <v>756</v>
      </c>
      <c r="M23" s="9" t="s">
        <v>922</v>
      </c>
      <c r="N23" s="9" t="s">
        <v>757</v>
      </c>
      <c r="O23" t="str">
        <f t="shared" si="1"/>
        <v>YES</v>
      </c>
      <c r="P23" t="str">
        <f t="shared" si="2"/>
        <v>YES</v>
      </c>
    </row>
    <row r="24" spans="1:16" x14ac:dyDescent="0.15">
      <c r="A24" s="5">
        <f t="shared" si="0"/>
        <v>2</v>
      </c>
      <c r="B24" s="6">
        <v>22</v>
      </c>
      <c r="C24" t="s">
        <v>758</v>
      </c>
      <c r="D24" t="s">
        <v>506</v>
      </c>
      <c r="E24" t="s">
        <v>759</v>
      </c>
      <c r="F24" t="s">
        <v>542</v>
      </c>
      <c r="G24" t="s">
        <v>543</v>
      </c>
      <c r="H24" t="s">
        <v>725</v>
      </c>
      <c r="I24" s="5">
        <v>3</v>
      </c>
      <c r="K24" s="10" t="s">
        <v>899</v>
      </c>
      <c r="L24" s="9" t="s">
        <v>758</v>
      </c>
      <c r="M24" s="9" t="s">
        <v>922</v>
      </c>
      <c r="N24" s="9" t="s">
        <v>759</v>
      </c>
      <c r="O24" t="str">
        <f t="shared" si="1"/>
        <v>YES</v>
      </c>
      <c r="P24" t="str">
        <f t="shared" si="2"/>
        <v>YES</v>
      </c>
    </row>
    <row r="25" spans="1:16" x14ac:dyDescent="0.15">
      <c r="A25" s="5">
        <f t="shared" si="0"/>
        <v>2</v>
      </c>
      <c r="B25" s="6">
        <v>23</v>
      </c>
      <c r="C25" t="s">
        <v>759</v>
      </c>
      <c r="D25" t="s">
        <v>506</v>
      </c>
      <c r="E25" t="s">
        <v>760</v>
      </c>
      <c r="F25" t="s">
        <v>544</v>
      </c>
      <c r="G25" t="s">
        <v>545</v>
      </c>
      <c r="H25" t="s">
        <v>725</v>
      </c>
      <c r="I25" s="5">
        <v>3</v>
      </c>
      <c r="K25" s="10" t="s">
        <v>900</v>
      </c>
      <c r="L25" s="9" t="s">
        <v>759</v>
      </c>
      <c r="M25" s="9" t="s">
        <v>922</v>
      </c>
      <c r="N25" s="9" t="s">
        <v>760</v>
      </c>
      <c r="O25" t="str">
        <f t="shared" si="1"/>
        <v>YES</v>
      </c>
      <c r="P25" t="str">
        <f t="shared" si="2"/>
        <v>YES</v>
      </c>
    </row>
    <row r="26" spans="1:16" x14ac:dyDescent="0.15">
      <c r="A26" s="5">
        <f t="shared" si="0"/>
        <v>2</v>
      </c>
      <c r="B26" s="6">
        <v>24</v>
      </c>
      <c r="C26" t="s">
        <v>761</v>
      </c>
      <c r="D26" t="s">
        <v>506</v>
      </c>
      <c r="E26" t="s">
        <v>762</v>
      </c>
      <c r="F26" t="s">
        <v>546</v>
      </c>
      <c r="G26" t="s">
        <v>547</v>
      </c>
      <c r="H26" t="s">
        <v>725</v>
      </c>
      <c r="I26" s="5">
        <v>3</v>
      </c>
      <c r="K26" s="10" t="s">
        <v>901</v>
      </c>
      <c r="L26" s="9" t="s">
        <v>761</v>
      </c>
      <c r="M26" s="9" t="s">
        <v>922</v>
      </c>
      <c r="N26" s="9" t="s">
        <v>762</v>
      </c>
      <c r="O26" t="str">
        <f t="shared" si="1"/>
        <v>YES</v>
      </c>
      <c r="P26" t="str">
        <f t="shared" si="2"/>
        <v>YES</v>
      </c>
    </row>
    <row r="27" spans="1:16" x14ac:dyDescent="0.15">
      <c r="A27" s="5">
        <f t="shared" si="0"/>
        <v>2</v>
      </c>
      <c r="B27" s="6">
        <v>25</v>
      </c>
      <c r="C27" t="s">
        <v>763</v>
      </c>
      <c r="D27" t="s">
        <v>506</v>
      </c>
      <c r="E27" t="s">
        <v>764</v>
      </c>
      <c r="F27" t="s">
        <v>548</v>
      </c>
      <c r="G27" t="s">
        <v>374</v>
      </c>
      <c r="H27" t="s">
        <v>725</v>
      </c>
      <c r="I27" s="5" t="s">
        <v>74</v>
      </c>
      <c r="K27" s="10" t="s">
        <v>902</v>
      </c>
      <c r="L27" s="9" t="s">
        <v>763</v>
      </c>
      <c r="M27" s="9" t="s">
        <v>922</v>
      </c>
      <c r="N27" s="9" t="s">
        <v>764</v>
      </c>
      <c r="O27" t="str">
        <f t="shared" si="1"/>
        <v>YES</v>
      </c>
      <c r="P27" t="str">
        <f t="shared" si="2"/>
        <v>YES</v>
      </c>
    </row>
    <row r="28" spans="1:16" x14ac:dyDescent="0.15">
      <c r="A28" s="5">
        <f t="shared" si="0"/>
        <v>1</v>
      </c>
      <c r="B28" s="6">
        <v>26</v>
      </c>
      <c r="C28" t="s">
        <v>764</v>
      </c>
      <c r="D28" t="s">
        <v>507</v>
      </c>
      <c r="E28" t="s">
        <v>765</v>
      </c>
      <c r="F28" t="s">
        <v>725</v>
      </c>
      <c r="G28" t="s">
        <v>725</v>
      </c>
      <c r="H28" t="s">
        <v>273</v>
      </c>
      <c r="I28" s="5" t="s">
        <v>74</v>
      </c>
      <c r="K28" s="10">
        <v>46</v>
      </c>
      <c r="L28" s="9" t="s">
        <v>764</v>
      </c>
      <c r="M28" s="11" t="s">
        <v>923</v>
      </c>
      <c r="N28" s="9" t="s">
        <v>765</v>
      </c>
      <c r="O28" t="str">
        <f t="shared" si="1"/>
        <v>YES</v>
      </c>
      <c r="P28" t="str">
        <f t="shared" si="2"/>
        <v>YES</v>
      </c>
    </row>
    <row r="29" spans="1:16" x14ac:dyDescent="0.15">
      <c r="A29" s="5">
        <f t="shared" si="0"/>
        <v>2</v>
      </c>
      <c r="B29" s="6">
        <v>27</v>
      </c>
      <c r="C29" t="s">
        <v>766</v>
      </c>
      <c r="D29" t="s">
        <v>506</v>
      </c>
      <c r="E29" t="s">
        <v>767</v>
      </c>
      <c r="F29" t="s">
        <v>375</v>
      </c>
      <c r="G29" t="s">
        <v>376</v>
      </c>
      <c r="H29" t="s">
        <v>725</v>
      </c>
      <c r="I29" s="5" t="s">
        <v>73</v>
      </c>
      <c r="K29" s="10" t="s">
        <v>903</v>
      </c>
      <c r="L29" s="9" t="s">
        <v>766</v>
      </c>
      <c r="M29" s="9" t="s">
        <v>922</v>
      </c>
      <c r="N29" s="9" t="s">
        <v>767</v>
      </c>
      <c r="O29" t="str">
        <f t="shared" si="1"/>
        <v>YES</v>
      </c>
      <c r="P29" t="str">
        <f t="shared" si="2"/>
        <v>YES</v>
      </c>
    </row>
    <row r="30" spans="1:16" x14ac:dyDescent="0.15">
      <c r="A30" s="5">
        <f t="shared" si="0"/>
        <v>1</v>
      </c>
      <c r="B30" s="6">
        <v>28</v>
      </c>
      <c r="C30" t="s">
        <v>767</v>
      </c>
      <c r="D30" t="s">
        <v>507</v>
      </c>
      <c r="E30" t="s">
        <v>768</v>
      </c>
      <c r="F30" t="s">
        <v>725</v>
      </c>
      <c r="G30" t="s">
        <v>725</v>
      </c>
      <c r="H30" t="s">
        <v>274</v>
      </c>
      <c r="I30" s="5" t="s">
        <v>73</v>
      </c>
      <c r="K30" s="10">
        <v>49</v>
      </c>
      <c r="L30" s="9" t="s">
        <v>767</v>
      </c>
      <c r="M30" s="11" t="s">
        <v>923</v>
      </c>
      <c r="N30" s="9" t="s">
        <v>768</v>
      </c>
      <c r="O30" t="str">
        <f t="shared" si="1"/>
        <v>YES</v>
      </c>
      <c r="P30" t="str">
        <f t="shared" si="2"/>
        <v>YES</v>
      </c>
    </row>
    <row r="31" spans="1:16" x14ac:dyDescent="0.15">
      <c r="A31" s="5">
        <f t="shared" si="0"/>
        <v>2</v>
      </c>
      <c r="B31" s="6">
        <v>29</v>
      </c>
      <c r="C31" t="s">
        <v>768</v>
      </c>
      <c r="D31" t="s">
        <v>506</v>
      </c>
      <c r="E31" t="s">
        <v>769</v>
      </c>
      <c r="F31" t="s">
        <v>377</v>
      </c>
      <c r="G31" t="s">
        <v>378</v>
      </c>
      <c r="H31" t="s">
        <v>725</v>
      </c>
      <c r="I31" s="5" t="s">
        <v>73</v>
      </c>
      <c r="K31" s="10" t="s">
        <v>904</v>
      </c>
      <c r="L31" s="9" t="s">
        <v>768</v>
      </c>
      <c r="M31" s="9" t="s">
        <v>922</v>
      </c>
      <c r="N31" s="9" t="s">
        <v>769</v>
      </c>
      <c r="O31" t="str">
        <f t="shared" si="1"/>
        <v>YES</v>
      </c>
      <c r="P31" t="str">
        <f t="shared" si="2"/>
        <v>YES</v>
      </c>
    </row>
    <row r="32" spans="1:16" x14ac:dyDescent="0.15">
      <c r="A32" s="5">
        <f t="shared" si="0"/>
        <v>2</v>
      </c>
      <c r="B32" s="6">
        <v>30</v>
      </c>
      <c r="C32" t="s">
        <v>770</v>
      </c>
      <c r="D32" t="s">
        <v>506</v>
      </c>
      <c r="E32" t="s">
        <v>771</v>
      </c>
      <c r="F32" t="s">
        <v>379</v>
      </c>
      <c r="G32" t="s">
        <v>380</v>
      </c>
      <c r="H32" t="s">
        <v>725</v>
      </c>
      <c r="I32" s="5" t="s">
        <v>73</v>
      </c>
      <c r="K32" s="10" t="s">
        <v>905</v>
      </c>
      <c r="L32" s="9" t="s">
        <v>770</v>
      </c>
      <c r="M32" s="9" t="s">
        <v>922</v>
      </c>
      <c r="N32" s="9" t="s">
        <v>771</v>
      </c>
      <c r="O32" t="str">
        <f t="shared" si="1"/>
        <v>YES</v>
      </c>
      <c r="P32" t="str">
        <f t="shared" si="2"/>
        <v>YES</v>
      </c>
    </row>
    <row r="33" spans="1:16" x14ac:dyDescent="0.15">
      <c r="A33" s="5">
        <f t="shared" si="0"/>
        <v>2</v>
      </c>
      <c r="B33" s="6">
        <v>31</v>
      </c>
      <c r="C33" t="s">
        <v>772</v>
      </c>
      <c r="D33" t="s">
        <v>506</v>
      </c>
      <c r="E33" t="s">
        <v>773</v>
      </c>
      <c r="F33" t="s">
        <v>381</v>
      </c>
      <c r="G33" t="s">
        <v>382</v>
      </c>
      <c r="H33" t="s">
        <v>725</v>
      </c>
      <c r="I33" s="5" t="s">
        <v>73</v>
      </c>
      <c r="K33" s="10" t="s">
        <v>906</v>
      </c>
      <c r="L33" s="9" t="s">
        <v>772</v>
      </c>
      <c r="M33" s="9" t="s">
        <v>922</v>
      </c>
      <c r="N33" s="9" t="s">
        <v>773</v>
      </c>
      <c r="O33" t="str">
        <f t="shared" si="1"/>
        <v>YES</v>
      </c>
      <c r="P33" t="str">
        <f t="shared" si="2"/>
        <v>YES</v>
      </c>
    </row>
    <row r="34" spans="1:16" x14ac:dyDescent="0.15">
      <c r="A34" s="5">
        <f t="shared" si="0"/>
        <v>2</v>
      </c>
      <c r="B34" s="6">
        <v>32</v>
      </c>
      <c r="C34" t="s">
        <v>773</v>
      </c>
      <c r="D34" t="s">
        <v>506</v>
      </c>
      <c r="E34" t="s">
        <v>774</v>
      </c>
      <c r="F34" t="s">
        <v>383</v>
      </c>
      <c r="G34" t="s">
        <v>384</v>
      </c>
      <c r="H34" t="s">
        <v>725</v>
      </c>
      <c r="I34" s="5" t="s">
        <v>73</v>
      </c>
      <c r="K34" s="10" t="s">
        <v>907</v>
      </c>
      <c r="L34" s="9" t="s">
        <v>773</v>
      </c>
      <c r="M34" s="9" t="s">
        <v>922</v>
      </c>
      <c r="N34" s="9" t="s">
        <v>774</v>
      </c>
      <c r="O34" t="str">
        <f t="shared" si="1"/>
        <v>YES</v>
      </c>
      <c r="P34" t="str">
        <f t="shared" si="2"/>
        <v>YES</v>
      </c>
    </row>
    <row r="35" spans="1:16" x14ac:dyDescent="0.15">
      <c r="A35" s="5">
        <f t="shared" si="0"/>
        <v>2</v>
      </c>
      <c r="B35" s="6">
        <v>33</v>
      </c>
      <c r="C35" t="s">
        <v>775</v>
      </c>
      <c r="D35" t="s">
        <v>506</v>
      </c>
      <c r="E35" t="s">
        <v>776</v>
      </c>
      <c r="F35" t="s">
        <v>385</v>
      </c>
      <c r="G35" t="s">
        <v>386</v>
      </c>
      <c r="H35" t="s">
        <v>725</v>
      </c>
      <c r="I35" s="5" t="s">
        <v>73</v>
      </c>
      <c r="K35" s="10" t="s">
        <v>908</v>
      </c>
      <c r="L35" s="9" t="s">
        <v>775</v>
      </c>
      <c r="M35" s="9" t="s">
        <v>922</v>
      </c>
      <c r="N35" s="9" t="s">
        <v>776</v>
      </c>
      <c r="O35" t="str">
        <f t="shared" si="1"/>
        <v>YES</v>
      </c>
      <c r="P35" t="str">
        <f t="shared" si="2"/>
        <v>YES</v>
      </c>
    </row>
    <row r="36" spans="1:16" x14ac:dyDescent="0.15">
      <c r="A36" s="5">
        <f t="shared" si="0"/>
        <v>1</v>
      </c>
      <c r="B36" s="6">
        <v>34</v>
      </c>
      <c r="C36" t="s">
        <v>776</v>
      </c>
      <c r="D36" t="s">
        <v>507</v>
      </c>
      <c r="E36" t="s">
        <v>777</v>
      </c>
      <c r="F36" t="s">
        <v>725</v>
      </c>
      <c r="G36" t="s">
        <v>725</v>
      </c>
      <c r="H36" t="s">
        <v>275</v>
      </c>
      <c r="I36" s="5" t="s">
        <v>73</v>
      </c>
      <c r="K36" s="10">
        <v>60</v>
      </c>
      <c r="L36" s="9" t="s">
        <v>776</v>
      </c>
      <c r="M36" s="11" t="s">
        <v>923</v>
      </c>
      <c r="N36" s="9" t="s">
        <v>777</v>
      </c>
      <c r="O36" t="str">
        <f t="shared" si="1"/>
        <v>YES</v>
      </c>
      <c r="P36" t="str">
        <f t="shared" si="2"/>
        <v>YES</v>
      </c>
    </row>
    <row r="37" spans="1:16" x14ac:dyDescent="0.15">
      <c r="A37" s="5">
        <f t="shared" si="0"/>
        <v>2</v>
      </c>
      <c r="B37" s="6">
        <v>35</v>
      </c>
      <c r="C37" t="s">
        <v>100</v>
      </c>
      <c r="D37" t="s">
        <v>506</v>
      </c>
      <c r="E37" t="s">
        <v>101</v>
      </c>
      <c r="F37" t="s">
        <v>387</v>
      </c>
      <c r="G37" t="s">
        <v>388</v>
      </c>
      <c r="H37" t="s">
        <v>725</v>
      </c>
      <c r="I37" s="5" t="s">
        <v>73</v>
      </c>
      <c r="K37" s="10" t="s">
        <v>909</v>
      </c>
      <c r="L37" s="9" t="s">
        <v>100</v>
      </c>
      <c r="M37" s="9" t="s">
        <v>922</v>
      </c>
      <c r="N37" s="9" t="s">
        <v>101</v>
      </c>
      <c r="O37" t="str">
        <f t="shared" si="1"/>
        <v>YES</v>
      </c>
      <c r="P37" t="str">
        <f t="shared" si="2"/>
        <v>YES</v>
      </c>
    </row>
    <row r="38" spans="1:16" x14ac:dyDescent="0.15">
      <c r="A38" s="5">
        <f t="shared" si="0"/>
        <v>1</v>
      </c>
      <c r="B38" s="6">
        <v>36</v>
      </c>
      <c r="C38" t="s">
        <v>101</v>
      </c>
      <c r="D38" t="s">
        <v>507</v>
      </c>
      <c r="E38" t="s">
        <v>102</v>
      </c>
      <c r="F38" t="s">
        <v>725</v>
      </c>
      <c r="G38" t="s">
        <v>725</v>
      </c>
      <c r="H38" t="s">
        <v>276</v>
      </c>
      <c r="I38" s="5">
        <v>6</v>
      </c>
      <c r="K38" s="10">
        <v>63</v>
      </c>
      <c r="L38" s="9" t="s">
        <v>101</v>
      </c>
      <c r="M38" s="11" t="s">
        <v>923</v>
      </c>
      <c r="N38" s="9" t="s">
        <v>102</v>
      </c>
      <c r="O38" t="str">
        <f t="shared" si="1"/>
        <v>YES</v>
      </c>
      <c r="P38" t="str">
        <f t="shared" si="2"/>
        <v>YES</v>
      </c>
    </row>
    <row r="39" spans="1:16" x14ac:dyDescent="0.15">
      <c r="A39" s="5">
        <f t="shared" si="0"/>
        <v>2</v>
      </c>
      <c r="B39" s="6">
        <v>37</v>
      </c>
      <c r="C39" t="s">
        <v>24</v>
      </c>
      <c r="D39" t="s">
        <v>506</v>
      </c>
      <c r="E39" t="s">
        <v>25</v>
      </c>
      <c r="F39" t="s">
        <v>389</v>
      </c>
      <c r="G39" t="s">
        <v>390</v>
      </c>
      <c r="H39" t="s">
        <v>725</v>
      </c>
      <c r="I39" s="5">
        <v>6</v>
      </c>
      <c r="K39" s="10" t="s">
        <v>910</v>
      </c>
      <c r="L39" s="9" t="s">
        <v>24</v>
      </c>
      <c r="M39" s="9" t="s">
        <v>922</v>
      </c>
      <c r="N39" s="9" t="s">
        <v>25</v>
      </c>
      <c r="O39" t="str">
        <f t="shared" si="1"/>
        <v>YES</v>
      </c>
      <c r="P39" t="str">
        <f t="shared" si="2"/>
        <v>YES</v>
      </c>
    </row>
    <row r="40" spans="1:16" x14ac:dyDescent="0.15">
      <c r="A40" s="5">
        <f t="shared" si="0"/>
        <v>1</v>
      </c>
      <c r="B40" s="6">
        <v>38</v>
      </c>
      <c r="C40" t="s">
        <v>25</v>
      </c>
      <c r="D40" t="s">
        <v>507</v>
      </c>
      <c r="E40" t="s">
        <v>26</v>
      </c>
      <c r="F40" t="s">
        <v>725</v>
      </c>
      <c r="G40" t="s">
        <v>725</v>
      </c>
      <c r="H40" t="s">
        <v>277</v>
      </c>
      <c r="I40" s="8" t="s">
        <v>75</v>
      </c>
      <c r="K40" s="10">
        <v>66</v>
      </c>
      <c r="L40" s="9" t="s">
        <v>25</v>
      </c>
      <c r="M40" s="11" t="s">
        <v>923</v>
      </c>
      <c r="N40" s="9" t="s">
        <v>26</v>
      </c>
      <c r="O40" t="str">
        <f t="shared" si="1"/>
        <v>YES</v>
      </c>
      <c r="P40" t="str">
        <f t="shared" si="2"/>
        <v>YES</v>
      </c>
    </row>
    <row r="41" spans="1:16" x14ac:dyDescent="0.15">
      <c r="A41" s="5">
        <f t="shared" si="0"/>
        <v>2</v>
      </c>
      <c r="B41" s="6">
        <v>39</v>
      </c>
      <c r="C41" t="s">
        <v>778</v>
      </c>
      <c r="D41" t="s">
        <v>506</v>
      </c>
      <c r="E41" t="s">
        <v>779</v>
      </c>
      <c r="F41" t="s">
        <v>391</v>
      </c>
      <c r="G41" t="s">
        <v>392</v>
      </c>
      <c r="H41" t="s">
        <v>725</v>
      </c>
      <c r="I41" s="5" t="s">
        <v>75</v>
      </c>
      <c r="K41" s="10" t="s">
        <v>911</v>
      </c>
      <c r="L41" s="9" t="s">
        <v>778</v>
      </c>
      <c r="M41" s="9" t="s">
        <v>922</v>
      </c>
      <c r="N41" s="9" t="s">
        <v>779</v>
      </c>
      <c r="O41" t="str">
        <f t="shared" si="1"/>
        <v>YES</v>
      </c>
      <c r="P41" t="str">
        <f t="shared" si="2"/>
        <v>YES</v>
      </c>
    </row>
    <row r="42" spans="1:16" x14ac:dyDescent="0.15">
      <c r="A42" s="5">
        <f t="shared" si="0"/>
        <v>1</v>
      </c>
      <c r="B42" s="6">
        <v>40</v>
      </c>
      <c r="C42" t="s">
        <v>779</v>
      </c>
      <c r="D42" t="s">
        <v>507</v>
      </c>
      <c r="E42" t="s">
        <v>780</v>
      </c>
      <c r="F42" t="s">
        <v>725</v>
      </c>
      <c r="G42" t="s">
        <v>725</v>
      </c>
      <c r="H42" t="s">
        <v>278</v>
      </c>
      <c r="I42" s="5">
        <v>5</v>
      </c>
      <c r="K42" s="10">
        <v>69</v>
      </c>
      <c r="L42" s="9" t="s">
        <v>779</v>
      </c>
      <c r="M42" s="11" t="s">
        <v>923</v>
      </c>
      <c r="N42" s="9" t="s">
        <v>780</v>
      </c>
      <c r="O42" t="str">
        <f t="shared" si="1"/>
        <v>YES</v>
      </c>
      <c r="P42" t="str">
        <f t="shared" si="2"/>
        <v>YES</v>
      </c>
    </row>
    <row r="43" spans="1:16" x14ac:dyDescent="0.15">
      <c r="A43" s="5">
        <f t="shared" si="0"/>
        <v>2</v>
      </c>
      <c r="B43" s="6">
        <v>41</v>
      </c>
      <c r="C43" t="s">
        <v>781</v>
      </c>
      <c r="D43" t="s">
        <v>506</v>
      </c>
      <c r="E43" t="s">
        <v>782</v>
      </c>
      <c r="F43" t="s">
        <v>393</v>
      </c>
      <c r="G43" t="s">
        <v>394</v>
      </c>
      <c r="H43" t="s">
        <v>725</v>
      </c>
      <c r="I43" s="5">
        <v>5</v>
      </c>
      <c r="K43" s="10" t="s">
        <v>912</v>
      </c>
      <c r="L43" s="9" t="s">
        <v>781</v>
      </c>
      <c r="M43" s="9" t="s">
        <v>922</v>
      </c>
      <c r="N43" s="9" t="s">
        <v>782</v>
      </c>
      <c r="O43" t="str">
        <f t="shared" si="1"/>
        <v>YES</v>
      </c>
      <c r="P43" t="str">
        <f t="shared" si="2"/>
        <v>YES</v>
      </c>
    </row>
    <row r="44" spans="1:16" x14ac:dyDescent="0.15">
      <c r="A44" s="5">
        <f t="shared" si="0"/>
        <v>1</v>
      </c>
      <c r="B44" s="6">
        <v>42</v>
      </c>
      <c r="C44" t="s">
        <v>782</v>
      </c>
      <c r="D44" t="s">
        <v>507</v>
      </c>
      <c r="E44" t="s">
        <v>783</v>
      </c>
      <c r="F44" t="s">
        <v>725</v>
      </c>
      <c r="G44" t="s">
        <v>725</v>
      </c>
      <c r="H44" t="s">
        <v>279</v>
      </c>
      <c r="I44" s="5">
        <v>1</v>
      </c>
      <c r="K44" s="10">
        <v>72</v>
      </c>
      <c r="L44" s="9" t="s">
        <v>782</v>
      </c>
      <c r="M44" s="11" t="s">
        <v>923</v>
      </c>
      <c r="N44" s="9" t="s">
        <v>783</v>
      </c>
      <c r="O44" t="str">
        <f t="shared" si="1"/>
        <v>YES</v>
      </c>
      <c r="P44" t="str">
        <f t="shared" si="2"/>
        <v>YES</v>
      </c>
    </row>
    <row r="45" spans="1:16" x14ac:dyDescent="0.15">
      <c r="A45" s="5">
        <f t="shared" si="0"/>
        <v>2</v>
      </c>
      <c r="B45" s="6">
        <v>43</v>
      </c>
      <c r="C45" t="s">
        <v>784</v>
      </c>
      <c r="D45" t="s">
        <v>506</v>
      </c>
      <c r="E45" t="s">
        <v>785</v>
      </c>
      <c r="F45" t="s">
        <v>395</v>
      </c>
      <c r="G45" t="s">
        <v>396</v>
      </c>
      <c r="H45" t="s">
        <v>725</v>
      </c>
      <c r="I45" s="5">
        <v>1</v>
      </c>
      <c r="K45" s="10" t="s">
        <v>913</v>
      </c>
      <c r="L45" s="9" t="s">
        <v>784</v>
      </c>
      <c r="M45" s="9" t="s">
        <v>922</v>
      </c>
      <c r="N45" s="9" t="s">
        <v>785</v>
      </c>
      <c r="O45" t="str">
        <f t="shared" si="1"/>
        <v>YES</v>
      </c>
      <c r="P45" t="str">
        <f t="shared" si="2"/>
        <v>YES</v>
      </c>
    </row>
    <row r="46" spans="1:16" x14ac:dyDescent="0.15">
      <c r="A46" s="5">
        <f t="shared" si="0"/>
        <v>1</v>
      </c>
      <c r="B46" s="6">
        <v>44</v>
      </c>
      <c r="C46" t="s">
        <v>785</v>
      </c>
      <c r="D46" t="s">
        <v>507</v>
      </c>
      <c r="E46" t="s">
        <v>786</v>
      </c>
      <c r="F46" t="s">
        <v>725</v>
      </c>
      <c r="G46" t="s">
        <v>725</v>
      </c>
      <c r="H46" t="s">
        <v>280</v>
      </c>
      <c r="I46" s="5">
        <v>1</v>
      </c>
      <c r="K46" s="10">
        <v>75</v>
      </c>
      <c r="L46" s="9" t="s">
        <v>785</v>
      </c>
      <c r="M46" s="11" t="s">
        <v>923</v>
      </c>
      <c r="N46" s="9" t="s">
        <v>786</v>
      </c>
      <c r="O46" t="str">
        <f t="shared" si="1"/>
        <v>YES</v>
      </c>
      <c r="P46" t="str">
        <f t="shared" si="2"/>
        <v>YES</v>
      </c>
    </row>
    <row r="47" spans="1:16" x14ac:dyDescent="0.15">
      <c r="A47" s="5">
        <f t="shared" si="0"/>
        <v>2</v>
      </c>
      <c r="B47" s="6">
        <v>45</v>
      </c>
      <c r="C47" t="s">
        <v>787</v>
      </c>
      <c r="D47" t="s">
        <v>506</v>
      </c>
      <c r="E47" t="s">
        <v>788</v>
      </c>
      <c r="F47" t="s">
        <v>397</v>
      </c>
      <c r="G47" t="s">
        <v>398</v>
      </c>
      <c r="H47" t="s">
        <v>725</v>
      </c>
      <c r="I47" s="5">
        <v>1</v>
      </c>
      <c r="K47" s="10" t="s">
        <v>914</v>
      </c>
      <c r="L47" s="9" t="s">
        <v>787</v>
      </c>
      <c r="M47" s="9" t="s">
        <v>922</v>
      </c>
      <c r="N47" s="9" t="s">
        <v>788</v>
      </c>
      <c r="O47" t="str">
        <f t="shared" si="1"/>
        <v>YES</v>
      </c>
      <c r="P47" t="str">
        <f t="shared" si="2"/>
        <v>YES</v>
      </c>
    </row>
    <row r="48" spans="1:16" x14ac:dyDescent="0.15">
      <c r="A48" s="5">
        <f t="shared" si="0"/>
        <v>1</v>
      </c>
      <c r="B48" s="6">
        <v>46</v>
      </c>
      <c r="C48" t="s">
        <v>788</v>
      </c>
      <c r="D48" t="s">
        <v>507</v>
      </c>
      <c r="E48" t="s">
        <v>789</v>
      </c>
      <c r="F48" t="s">
        <v>725</v>
      </c>
      <c r="G48" t="s">
        <v>725</v>
      </c>
      <c r="H48" t="s">
        <v>281</v>
      </c>
      <c r="I48" s="5">
        <v>1</v>
      </c>
      <c r="K48" s="10">
        <v>78</v>
      </c>
      <c r="L48" s="9" t="s">
        <v>788</v>
      </c>
      <c r="M48" s="11" t="s">
        <v>923</v>
      </c>
      <c r="N48" s="9" t="s">
        <v>789</v>
      </c>
      <c r="O48" t="str">
        <f t="shared" si="1"/>
        <v>YES</v>
      </c>
      <c r="P48" t="str">
        <f t="shared" si="2"/>
        <v>YES</v>
      </c>
    </row>
    <row r="49" spans="1:16" x14ac:dyDescent="0.15">
      <c r="A49" s="5">
        <f t="shared" si="0"/>
        <v>2</v>
      </c>
      <c r="B49" s="6">
        <v>47</v>
      </c>
      <c r="C49" t="s">
        <v>789</v>
      </c>
      <c r="D49" t="s">
        <v>506</v>
      </c>
      <c r="E49" t="s">
        <v>790</v>
      </c>
      <c r="F49" t="s">
        <v>399</v>
      </c>
      <c r="G49" t="s">
        <v>400</v>
      </c>
      <c r="H49" t="s">
        <v>725</v>
      </c>
      <c r="I49" s="5">
        <v>1</v>
      </c>
      <c r="K49" s="10" t="s">
        <v>915</v>
      </c>
      <c r="L49" s="9" t="s">
        <v>789</v>
      </c>
      <c r="M49" s="9" t="s">
        <v>922</v>
      </c>
      <c r="N49" s="9" t="s">
        <v>790</v>
      </c>
      <c r="O49" t="str">
        <f t="shared" si="1"/>
        <v>YES</v>
      </c>
      <c r="P49" t="str">
        <f t="shared" si="2"/>
        <v>YES</v>
      </c>
    </row>
    <row r="50" spans="1:16" x14ac:dyDescent="0.15">
      <c r="A50" s="5">
        <f t="shared" si="0"/>
        <v>1</v>
      </c>
      <c r="B50" s="6">
        <v>48</v>
      </c>
      <c r="C50" t="s">
        <v>790</v>
      </c>
      <c r="D50" t="s">
        <v>507</v>
      </c>
      <c r="E50" t="s">
        <v>791</v>
      </c>
      <c r="F50" t="s">
        <v>725</v>
      </c>
      <c r="G50" t="s">
        <v>725</v>
      </c>
      <c r="H50" t="s">
        <v>282</v>
      </c>
      <c r="I50" s="5">
        <v>1</v>
      </c>
      <c r="K50" s="10">
        <v>81</v>
      </c>
      <c r="L50" s="9" t="s">
        <v>790</v>
      </c>
      <c r="M50" s="11" t="s">
        <v>923</v>
      </c>
      <c r="N50" s="9" t="s">
        <v>791</v>
      </c>
      <c r="O50" t="str">
        <f t="shared" si="1"/>
        <v>YES</v>
      </c>
      <c r="P50" t="str">
        <f t="shared" si="2"/>
        <v>YES</v>
      </c>
    </row>
    <row r="51" spans="1:16" x14ac:dyDescent="0.15">
      <c r="A51" s="5">
        <f t="shared" si="0"/>
        <v>2</v>
      </c>
      <c r="B51" s="6">
        <v>49</v>
      </c>
      <c r="C51" t="s">
        <v>792</v>
      </c>
      <c r="D51" t="s">
        <v>506</v>
      </c>
      <c r="E51" t="s">
        <v>793</v>
      </c>
      <c r="F51" t="s">
        <v>401</v>
      </c>
      <c r="G51" t="s">
        <v>402</v>
      </c>
      <c r="H51" t="s">
        <v>725</v>
      </c>
      <c r="I51" s="5">
        <v>1</v>
      </c>
      <c r="K51" s="10" t="s">
        <v>916</v>
      </c>
      <c r="L51" s="9" t="s">
        <v>792</v>
      </c>
      <c r="M51" s="9" t="s">
        <v>922</v>
      </c>
      <c r="N51" s="9" t="s">
        <v>793</v>
      </c>
      <c r="O51" t="str">
        <f t="shared" si="1"/>
        <v>YES</v>
      </c>
      <c r="P51" t="str">
        <f t="shared" si="2"/>
        <v>YES</v>
      </c>
    </row>
    <row r="52" spans="1:16" x14ac:dyDescent="0.15">
      <c r="A52" s="5">
        <f t="shared" si="0"/>
        <v>1</v>
      </c>
      <c r="B52" s="6">
        <v>50</v>
      </c>
      <c r="C52" t="s">
        <v>793</v>
      </c>
      <c r="D52" t="s">
        <v>507</v>
      </c>
      <c r="E52" t="s">
        <v>794</v>
      </c>
      <c r="F52" t="s">
        <v>725</v>
      </c>
      <c r="G52" t="s">
        <v>725</v>
      </c>
      <c r="H52" t="s">
        <v>283</v>
      </c>
      <c r="I52" s="5">
        <v>1</v>
      </c>
      <c r="K52" s="10">
        <v>84</v>
      </c>
      <c r="L52" s="9" t="s">
        <v>793</v>
      </c>
      <c r="M52" s="11" t="s">
        <v>923</v>
      </c>
      <c r="N52" s="9" t="s">
        <v>794</v>
      </c>
      <c r="O52" t="str">
        <f t="shared" si="1"/>
        <v>YES</v>
      </c>
      <c r="P52" t="str">
        <f t="shared" si="2"/>
        <v>YES</v>
      </c>
    </row>
    <row r="53" spans="1:16" x14ac:dyDescent="0.15">
      <c r="A53" s="5">
        <f t="shared" si="0"/>
        <v>2</v>
      </c>
      <c r="B53" s="6">
        <v>51</v>
      </c>
      <c r="C53" t="s">
        <v>794</v>
      </c>
      <c r="D53" t="s">
        <v>506</v>
      </c>
      <c r="E53" t="s">
        <v>795</v>
      </c>
      <c r="F53" t="s">
        <v>403</v>
      </c>
      <c r="G53" t="s">
        <v>404</v>
      </c>
      <c r="H53" t="s">
        <v>725</v>
      </c>
      <c r="I53" s="5">
        <v>1</v>
      </c>
      <c r="K53" s="10" t="s">
        <v>917</v>
      </c>
      <c r="L53" s="9" t="s">
        <v>794</v>
      </c>
      <c r="M53" s="9" t="s">
        <v>922</v>
      </c>
      <c r="N53" s="9" t="s">
        <v>795</v>
      </c>
      <c r="O53" t="str">
        <f t="shared" si="1"/>
        <v>YES</v>
      </c>
      <c r="P53" t="str">
        <f t="shared" si="2"/>
        <v>YES</v>
      </c>
    </row>
    <row r="54" spans="1:16" x14ac:dyDescent="0.15">
      <c r="A54" s="5">
        <f t="shared" si="0"/>
        <v>1</v>
      </c>
      <c r="B54" s="6">
        <v>52</v>
      </c>
      <c r="C54" t="s">
        <v>795</v>
      </c>
      <c r="D54" t="s">
        <v>507</v>
      </c>
      <c r="E54" t="s">
        <v>796</v>
      </c>
      <c r="F54" t="s">
        <v>725</v>
      </c>
      <c r="G54" t="s">
        <v>725</v>
      </c>
      <c r="H54" t="s">
        <v>284</v>
      </c>
      <c r="I54" s="5">
        <v>1</v>
      </c>
      <c r="K54" s="10">
        <v>87</v>
      </c>
      <c r="L54" s="9" t="s">
        <v>795</v>
      </c>
      <c r="M54" s="11" t="s">
        <v>923</v>
      </c>
      <c r="N54" s="9" t="s">
        <v>796</v>
      </c>
      <c r="O54" t="str">
        <f t="shared" si="1"/>
        <v>YES</v>
      </c>
      <c r="P54" t="str">
        <f t="shared" si="2"/>
        <v>YES</v>
      </c>
    </row>
    <row r="55" spans="1:16" x14ac:dyDescent="0.15">
      <c r="A55" s="5">
        <f t="shared" si="0"/>
        <v>2</v>
      </c>
      <c r="B55" s="6">
        <v>53</v>
      </c>
      <c r="C55" t="s">
        <v>797</v>
      </c>
      <c r="D55" t="s">
        <v>506</v>
      </c>
      <c r="E55" t="s">
        <v>798</v>
      </c>
      <c r="F55" t="s">
        <v>405</v>
      </c>
      <c r="G55" t="s">
        <v>406</v>
      </c>
      <c r="H55" t="s">
        <v>725</v>
      </c>
      <c r="I55" s="5">
        <v>1</v>
      </c>
      <c r="K55" s="10" t="s">
        <v>918</v>
      </c>
      <c r="L55" s="9" t="s">
        <v>797</v>
      </c>
      <c r="M55" s="9" t="s">
        <v>922</v>
      </c>
      <c r="N55" s="9" t="s">
        <v>798</v>
      </c>
      <c r="O55" t="str">
        <f t="shared" si="1"/>
        <v>YES</v>
      </c>
      <c r="P55" t="str">
        <f t="shared" si="2"/>
        <v>YES</v>
      </c>
    </row>
    <row r="56" spans="1:16" x14ac:dyDescent="0.15">
      <c r="A56" s="5">
        <f t="shared" si="0"/>
        <v>1</v>
      </c>
      <c r="B56" s="6">
        <v>54</v>
      </c>
      <c r="C56" t="s">
        <v>798</v>
      </c>
      <c r="D56" t="s">
        <v>507</v>
      </c>
      <c r="E56" t="s">
        <v>637</v>
      </c>
      <c r="F56" t="s">
        <v>725</v>
      </c>
      <c r="G56" t="s">
        <v>725</v>
      </c>
      <c r="H56" t="s">
        <v>285</v>
      </c>
      <c r="I56" s="5">
        <v>1</v>
      </c>
      <c r="K56" s="10">
        <v>90</v>
      </c>
      <c r="L56" s="9" t="s">
        <v>798</v>
      </c>
      <c r="M56" s="11" t="s">
        <v>923</v>
      </c>
      <c r="N56" s="9" t="s">
        <v>637</v>
      </c>
      <c r="O56" t="str">
        <f t="shared" si="1"/>
        <v>YES</v>
      </c>
      <c r="P56" t="str">
        <f t="shared" si="2"/>
        <v>YES</v>
      </c>
    </row>
    <row r="57" spans="1:16" x14ac:dyDescent="0.15">
      <c r="A57" s="5">
        <f t="shared" si="0"/>
        <v>2</v>
      </c>
      <c r="B57" s="6">
        <v>55</v>
      </c>
      <c r="C57" t="s">
        <v>638</v>
      </c>
      <c r="D57" t="s">
        <v>506</v>
      </c>
      <c r="E57" t="s">
        <v>639</v>
      </c>
      <c r="F57" t="s">
        <v>407</v>
      </c>
      <c r="G57" t="s">
        <v>408</v>
      </c>
      <c r="H57" t="s">
        <v>725</v>
      </c>
      <c r="I57" s="5">
        <v>1</v>
      </c>
      <c r="K57" s="10" t="s">
        <v>919</v>
      </c>
      <c r="L57" s="9" t="s">
        <v>638</v>
      </c>
      <c r="M57" s="9" t="s">
        <v>922</v>
      </c>
      <c r="N57" s="9" t="s">
        <v>639</v>
      </c>
      <c r="O57" t="str">
        <f t="shared" si="1"/>
        <v>YES</v>
      </c>
      <c r="P57" t="str">
        <f t="shared" si="2"/>
        <v>YES</v>
      </c>
    </row>
    <row r="58" spans="1:16" x14ac:dyDescent="0.15">
      <c r="A58" s="5">
        <f t="shared" si="0"/>
        <v>1</v>
      </c>
      <c r="B58" s="6">
        <v>56</v>
      </c>
      <c r="C58" t="s">
        <v>639</v>
      </c>
      <c r="D58" t="s">
        <v>507</v>
      </c>
      <c r="E58" t="s">
        <v>797</v>
      </c>
      <c r="F58" t="s">
        <v>725</v>
      </c>
      <c r="G58" t="s">
        <v>725</v>
      </c>
      <c r="H58" t="s">
        <v>286</v>
      </c>
      <c r="I58" s="5">
        <v>1</v>
      </c>
      <c r="K58" s="10">
        <v>93</v>
      </c>
      <c r="L58" s="9" t="s">
        <v>639</v>
      </c>
      <c r="M58" s="11" t="s">
        <v>923</v>
      </c>
      <c r="N58" s="9" t="s">
        <v>797</v>
      </c>
      <c r="O58" t="str">
        <f t="shared" si="1"/>
        <v>YES</v>
      </c>
      <c r="P58" t="str">
        <f t="shared" si="2"/>
        <v>YES</v>
      </c>
    </row>
    <row r="59" spans="1:16" x14ac:dyDescent="0.15">
      <c r="A59" s="5">
        <f t="shared" si="0"/>
        <v>2</v>
      </c>
      <c r="B59" s="6">
        <v>57</v>
      </c>
      <c r="C59" t="s">
        <v>640</v>
      </c>
      <c r="D59" t="s">
        <v>506</v>
      </c>
      <c r="E59" t="s">
        <v>641</v>
      </c>
      <c r="F59" t="s">
        <v>409</v>
      </c>
      <c r="G59" t="s">
        <v>410</v>
      </c>
      <c r="H59" t="s">
        <v>725</v>
      </c>
      <c r="I59" s="5">
        <v>1</v>
      </c>
      <c r="K59" s="10" t="s">
        <v>920</v>
      </c>
      <c r="L59" s="9" t="s">
        <v>640</v>
      </c>
      <c r="M59" s="9" t="s">
        <v>922</v>
      </c>
      <c r="N59" s="9" t="s">
        <v>641</v>
      </c>
      <c r="O59" t="str">
        <f t="shared" si="1"/>
        <v>YES</v>
      </c>
      <c r="P59" t="str">
        <f t="shared" si="2"/>
        <v>YES</v>
      </c>
    </row>
    <row r="60" spans="1:16" x14ac:dyDescent="0.15">
      <c r="A60" s="5">
        <f t="shared" si="0"/>
        <v>1</v>
      </c>
      <c r="B60" s="6">
        <v>58</v>
      </c>
      <c r="C60" t="s">
        <v>641</v>
      </c>
      <c r="D60" t="s">
        <v>507</v>
      </c>
      <c r="E60" t="s">
        <v>642</v>
      </c>
      <c r="F60" t="s">
        <v>725</v>
      </c>
      <c r="G60" t="s">
        <v>725</v>
      </c>
      <c r="H60" t="s">
        <v>287</v>
      </c>
      <c r="I60" s="5">
        <v>1</v>
      </c>
      <c r="K60" s="10">
        <v>96</v>
      </c>
      <c r="L60" s="9" t="s">
        <v>641</v>
      </c>
      <c r="M60" s="11" t="s">
        <v>923</v>
      </c>
      <c r="N60" s="9" t="s">
        <v>642</v>
      </c>
      <c r="O60" t="str">
        <f t="shared" si="1"/>
        <v>YES</v>
      </c>
      <c r="P60" t="str">
        <f t="shared" si="2"/>
        <v>YES</v>
      </c>
    </row>
    <row r="61" spans="1:16" x14ac:dyDescent="0.15">
      <c r="A61" s="5">
        <f t="shared" si="0"/>
        <v>2</v>
      </c>
      <c r="B61" s="6">
        <v>59</v>
      </c>
      <c r="C61" t="s">
        <v>643</v>
      </c>
      <c r="D61" t="s">
        <v>506</v>
      </c>
      <c r="E61" t="s">
        <v>644</v>
      </c>
      <c r="F61" t="s">
        <v>411</v>
      </c>
      <c r="G61" t="s">
        <v>412</v>
      </c>
      <c r="H61" t="s">
        <v>725</v>
      </c>
      <c r="I61" s="5">
        <v>1</v>
      </c>
      <c r="K61" s="10" t="s">
        <v>921</v>
      </c>
      <c r="L61" s="9" t="s">
        <v>643</v>
      </c>
      <c r="M61" s="9" t="s">
        <v>922</v>
      </c>
      <c r="N61" s="9" t="s">
        <v>644</v>
      </c>
      <c r="O61" t="str">
        <f t="shared" si="1"/>
        <v>YES</v>
      </c>
      <c r="P61" t="str">
        <f t="shared" si="2"/>
        <v>YES</v>
      </c>
    </row>
    <row r="62" spans="1:16" x14ac:dyDescent="0.15">
      <c r="A62" s="5">
        <f t="shared" si="0"/>
        <v>1</v>
      </c>
      <c r="B62" s="6">
        <v>60</v>
      </c>
      <c r="C62" t="s">
        <v>644</v>
      </c>
      <c r="D62" t="s">
        <v>507</v>
      </c>
      <c r="E62" t="s">
        <v>640</v>
      </c>
      <c r="F62" t="s">
        <v>725</v>
      </c>
      <c r="G62" t="s">
        <v>725</v>
      </c>
      <c r="H62" t="s">
        <v>116</v>
      </c>
      <c r="I62" s="5">
        <v>1</v>
      </c>
      <c r="K62" s="10">
        <v>99</v>
      </c>
      <c r="L62" s="9" t="s">
        <v>644</v>
      </c>
      <c r="M62" s="11" t="s">
        <v>923</v>
      </c>
      <c r="N62" s="9" t="s">
        <v>640</v>
      </c>
      <c r="O62" t="str">
        <f t="shared" si="1"/>
        <v>YES</v>
      </c>
      <c r="P62" t="str">
        <f t="shared" si="2"/>
        <v>YES</v>
      </c>
    </row>
    <row r="63" spans="1:16" x14ac:dyDescent="0.15">
      <c r="A63" s="5">
        <f t="shared" si="0"/>
        <v>2</v>
      </c>
      <c r="B63" s="6">
        <v>61</v>
      </c>
      <c r="C63" t="s">
        <v>645</v>
      </c>
      <c r="D63" t="s">
        <v>506</v>
      </c>
      <c r="E63" t="s">
        <v>646</v>
      </c>
      <c r="F63" t="s">
        <v>413</v>
      </c>
      <c r="G63" t="s">
        <v>414</v>
      </c>
      <c r="H63" t="s">
        <v>725</v>
      </c>
      <c r="I63" s="5">
        <v>7</v>
      </c>
      <c r="K63" s="12">
        <v>100101</v>
      </c>
      <c r="L63" s="9" t="s">
        <v>645</v>
      </c>
      <c r="M63" s="9" t="s">
        <v>922</v>
      </c>
      <c r="N63" s="9" t="s">
        <v>646</v>
      </c>
      <c r="O63" t="str">
        <f t="shared" si="1"/>
        <v>YES</v>
      </c>
      <c r="P63" t="str">
        <f t="shared" si="2"/>
        <v>YES</v>
      </c>
    </row>
    <row r="64" spans="1:16" x14ac:dyDescent="0.15">
      <c r="A64" s="5">
        <f t="shared" si="0"/>
        <v>1</v>
      </c>
      <c r="B64" s="6">
        <v>62</v>
      </c>
      <c r="C64" t="s">
        <v>646</v>
      </c>
      <c r="D64" t="s">
        <v>507</v>
      </c>
      <c r="E64" t="s">
        <v>647</v>
      </c>
      <c r="F64" t="s">
        <v>725</v>
      </c>
      <c r="G64" t="s">
        <v>725</v>
      </c>
      <c r="H64" t="s">
        <v>117</v>
      </c>
      <c r="I64" s="5">
        <v>7</v>
      </c>
      <c r="K64" s="10">
        <v>102</v>
      </c>
      <c r="L64" s="9" t="s">
        <v>646</v>
      </c>
      <c r="M64" s="11" t="s">
        <v>923</v>
      </c>
      <c r="N64" s="9" t="s">
        <v>647</v>
      </c>
      <c r="O64" t="str">
        <f t="shared" si="1"/>
        <v>YES</v>
      </c>
      <c r="P64" t="str">
        <f t="shared" si="2"/>
        <v>YES</v>
      </c>
    </row>
    <row r="65" spans="1:17" x14ac:dyDescent="0.15">
      <c r="A65" s="5">
        <f t="shared" si="0"/>
        <v>2</v>
      </c>
      <c r="B65" s="6">
        <v>63</v>
      </c>
      <c r="C65" t="s">
        <v>648</v>
      </c>
      <c r="D65" t="s">
        <v>506</v>
      </c>
      <c r="E65" t="s">
        <v>649</v>
      </c>
      <c r="F65" t="s">
        <v>415</v>
      </c>
      <c r="G65" t="s">
        <v>416</v>
      </c>
      <c r="H65" t="s">
        <v>725</v>
      </c>
      <c r="I65" s="5" t="s">
        <v>73</v>
      </c>
      <c r="K65" s="12">
        <v>103104</v>
      </c>
      <c r="L65" s="9" t="s">
        <v>648</v>
      </c>
      <c r="M65" s="9" t="s">
        <v>922</v>
      </c>
      <c r="N65" s="9" t="s">
        <v>649</v>
      </c>
      <c r="O65" t="str">
        <f t="shared" si="1"/>
        <v>YES</v>
      </c>
      <c r="P65" t="str">
        <f t="shared" si="2"/>
        <v>YES</v>
      </c>
    </row>
    <row r="66" spans="1:17" x14ac:dyDescent="0.15">
      <c r="A66" s="5">
        <f t="shared" si="0"/>
        <v>1</v>
      </c>
      <c r="B66" s="6">
        <v>64</v>
      </c>
      <c r="C66" t="s">
        <v>649</v>
      </c>
      <c r="D66" t="s">
        <v>507</v>
      </c>
      <c r="E66" t="s">
        <v>650</v>
      </c>
      <c r="F66" t="s">
        <v>725</v>
      </c>
      <c r="G66" t="s">
        <v>725</v>
      </c>
      <c r="H66" t="s">
        <v>118</v>
      </c>
      <c r="I66" s="5" t="s">
        <v>73</v>
      </c>
      <c r="K66" s="10">
        <v>105</v>
      </c>
      <c r="L66" s="9" t="s">
        <v>649</v>
      </c>
      <c r="M66" s="11" t="s">
        <v>923</v>
      </c>
      <c r="N66" s="9" t="s">
        <v>650</v>
      </c>
      <c r="O66" t="str">
        <f t="shared" si="1"/>
        <v>YES</v>
      </c>
      <c r="P66" t="str">
        <f t="shared" si="2"/>
        <v>YES</v>
      </c>
    </row>
    <row r="67" spans="1:17" x14ac:dyDescent="0.15">
      <c r="A67" s="5">
        <f t="shared" ref="A67:A130" si="3">IF(D67="→",1,2)</f>
        <v>2</v>
      </c>
      <c r="B67" s="6">
        <v>65</v>
      </c>
      <c r="C67" t="s">
        <v>651</v>
      </c>
      <c r="D67" t="s">
        <v>506</v>
      </c>
      <c r="E67" t="s">
        <v>652</v>
      </c>
      <c r="F67" t="s">
        <v>417</v>
      </c>
      <c r="G67" t="s">
        <v>418</v>
      </c>
      <c r="H67" t="s">
        <v>725</v>
      </c>
      <c r="I67" s="5">
        <v>7</v>
      </c>
      <c r="K67" s="12">
        <v>106107</v>
      </c>
      <c r="L67" s="9" t="s">
        <v>651</v>
      </c>
      <c r="M67" s="9" t="s">
        <v>922</v>
      </c>
      <c r="N67" s="9" t="s">
        <v>652</v>
      </c>
      <c r="O67" t="str">
        <f t="shared" si="1"/>
        <v>YES</v>
      </c>
      <c r="P67" t="str">
        <f t="shared" si="2"/>
        <v>YES</v>
      </c>
    </row>
    <row r="68" spans="1:17" x14ac:dyDescent="0.15">
      <c r="A68" s="5">
        <f t="shared" si="3"/>
        <v>1</v>
      </c>
      <c r="B68" s="6">
        <v>66</v>
      </c>
      <c r="C68" t="s">
        <v>652</v>
      </c>
      <c r="D68" t="s">
        <v>507</v>
      </c>
      <c r="E68" t="s">
        <v>653</v>
      </c>
      <c r="F68" t="s">
        <v>725</v>
      </c>
      <c r="G68" t="s">
        <v>725</v>
      </c>
      <c r="H68" t="s">
        <v>119</v>
      </c>
      <c r="I68" s="5">
        <v>7</v>
      </c>
      <c r="K68" s="10">
        <v>108</v>
      </c>
      <c r="L68" s="9" t="s">
        <v>652</v>
      </c>
      <c r="M68" s="11" t="s">
        <v>923</v>
      </c>
      <c r="N68" s="9" t="s">
        <v>653</v>
      </c>
      <c r="O68" t="str">
        <f t="shared" ref="O68:O99" si="4">IF(L68=C68,"YES","NO")</f>
        <v>YES</v>
      </c>
      <c r="P68" t="str">
        <f t="shared" ref="P68:P131" si="5">IF(N68=E68,"YES","NO")</f>
        <v>YES</v>
      </c>
    </row>
    <row r="69" spans="1:17" x14ac:dyDescent="0.15">
      <c r="A69" s="5">
        <f t="shared" si="3"/>
        <v>2</v>
      </c>
      <c r="B69" s="6">
        <v>67</v>
      </c>
      <c r="C69" t="s">
        <v>654</v>
      </c>
      <c r="D69" t="s">
        <v>506</v>
      </c>
      <c r="E69" t="s">
        <v>655</v>
      </c>
      <c r="F69" t="s">
        <v>419</v>
      </c>
      <c r="G69" t="s">
        <v>420</v>
      </c>
      <c r="H69" t="s">
        <v>725</v>
      </c>
      <c r="I69" s="5">
        <v>1</v>
      </c>
      <c r="K69" s="12">
        <v>109110</v>
      </c>
      <c r="L69" s="9" t="s">
        <v>654</v>
      </c>
      <c r="M69" s="9" t="s">
        <v>922</v>
      </c>
      <c r="N69" s="9" t="s">
        <v>655</v>
      </c>
      <c r="O69" t="str">
        <f t="shared" si="4"/>
        <v>YES</v>
      </c>
      <c r="P69" t="str">
        <f t="shared" si="5"/>
        <v>YES</v>
      </c>
    </row>
    <row r="70" spans="1:17" x14ac:dyDescent="0.15">
      <c r="A70" s="5">
        <f t="shared" si="3"/>
        <v>1</v>
      </c>
      <c r="B70" s="6">
        <v>68</v>
      </c>
      <c r="C70" t="s">
        <v>655</v>
      </c>
      <c r="D70" t="s">
        <v>507</v>
      </c>
      <c r="E70" t="s">
        <v>656</v>
      </c>
      <c r="F70" t="s">
        <v>725</v>
      </c>
      <c r="G70" t="s">
        <v>725</v>
      </c>
      <c r="H70" t="s">
        <v>120</v>
      </c>
      <c r="I70" s="5">
        <v>1</v>
      </c>
      <c r="K70" s="10">
        <v>111</v>
      </c>
      <c r="L70" s="9" t="s">
        <v>655</v>
      </c>
      <c r="M70" s="11" t="s">
        <v>923</v>
      </c>
      <c r="N70" s="9" t="s">
        <v>656</v>
      </c>
      <c r="O70" t="str">
        <f t="shared" si="4"/>
        <v>YES</v>
      </c>
      <c r="P70" t="str">
        <f t="shared" si="5"/>
        <v>YES</v>
      </c>
    </row>
    <row r="71" spans="1:17" x14ac:dyDescent="0.15">
      <c r="A71" s="5">
        <f t="shared" si="3"/>
        <v>1</v>
      </c>
      <c r="B71" s="6">
        <v>69</v>
      </c>
      <c r="C71" t="s">
        <v>657</v>
      </c>
      <c r="D71" t="s">
        <v>507</v>
      </c>
      <c r="E71" t="s">
        <v>658</v>
      </c>
      <c r="F71" t="s">
        <v>725</v>
      </c>
      <c r="G71" t="s">
        <v>725</v>
      </c>
      <c r="H71" t="s">
        <v>121</v>
      </c>
      <c r="I71" s="5">
        <v>1</v>
      </c>
      <c r="K71" s="10">
        <v>112</v>
      </c>
      <c r="L71" s="9" t="s">
        <v>657</v>
      </c>
      <c r="M71" s="11" t="s">
        <v>923</v>
      </c>
      <c r="N71" s="9" t="s">
        <v>658</v>
      </c>
      <c r="O71" t="str">
        <f t="shared" si="4"/>
        <v>YES</v>
      </c>
      <c r="P71" t="str">
        <f t="shared" si="5"/>
        <v>YES</v>
      </c>
    </row>
    <row r="72" spans="1:17" x14ac:dyDescent="0.15">
      <c r="A72" s="5">
        <f t="shared" si="3"/>
        <v>2</v>
      </c>
      <c r="B72" s="6">
        <v>70</v>
      </c>
      <c r="C72" t="s">
        <v>659</v>
      </c>
      <c r="D72" t="s">
        <v>506</v>
      </c>
      <c r="E72" t="s">
        <v>660</v>
      </c>
      <c r="F72" t="s">
        <v>421</v>
      </c>
      <c r="G72" t="s">
        <v>422</v>
      </c>
      <c r="H72" t="s">
        <v>725</v>
      </c>
      <c r="I72" s="5">
        <v>1</v>
      </c>
      <c r="K72" s="12">
        <v>113114</v>
      </c>
      <c r="L72" s="9" t="s">
        <v>659</v>
      </c>
      <c r="M72" s="9" t="s">
        <v>922</v>
      </c>
      <c r="N72" s="9" t="s">
        <v>660</v>
      </c>
      <c r="O72" t="str">
        <f t="shared" si="4"/>
        <v>YES</v>
      </c>
      <c r="P72" t="str">
        <f t="shared" si="5"/>
        <v>YES</v>
      </c>
    </row>
    <row r="73" spans="1:17" x14ac:dyDescent="0.15">
      <c r="A73" s="5">
        <f t="shared" si="3"/>
        <v>1</v>
      </c>
      <c r="B73" s="6">
        <v>71</v>
      </c>
      <c r="C73" t="s">
        <v>724</v>
      </c>
      <c r="D73" t="s">
        <v>507</v>
      </c>
      <c r="E73" t="s">
        <v>661</v>
      </c>
      <c r="F73" t="s">
        <v>725</v>
      </c>
      <c r="G73" t="s">
        <v>725</v>
      </c>
      <c r="H73" t="s">
        <v>122</v>
      </c>
      <c r="I73" s="5">
        <v>1</v>
      </c>
      <c r="K73" s="10">
        <v>115</v>
      </c>
      <c r="L73" s="9" t="s">
        <v>724</v>
      </c>
      <c r="M73" s="11" t="s">
        <v>923</v>
      </c>
      <c r="N73" s="9" t="s">
        <v>661</v>
      </c>
      <c r="O73" t="str">
        <f t="shared" si="4"/>
        <v>YES</v>
      </c>
      <c r="P73" t="str">
        <f t="shared" si="5"/>
        <v>YES</v>
      </c>
    </row>
    <row r="74" spans="1:17" x14ac:dyDescent="0.15">
      <c r="A74" s="5">
        <f t="shared" si="3"/>
        <v>2</v>
      </c>
      <c r="B74" s="6">
        <v>72</v>
      </c>
      <c r="C74" t="s">
        <v>662</v>
      </c>
      <c r="D74" t="s">
        <v>506</v>
      </c>
      <c r="E74" t="s">
        <v>661</v>
      </c>
      <c r="F74" t="s">
        <v>423</v>
      </c>
      <c r="G74" t="s">
        <v>424</v>
      </c>
      <c r="H74" t="s">
        <v>725</v>
      </c>
      <c r="I74" s="8" t="s">
        <v>76</v>
      </c>
      <c r="K74" s="12">
        <v>116117</v>
      </c>
      <c r="L74" s="9" t="s">
        <v>662</v>
      </c>
      <c r="M74" s="9" t="s">
        <v>922</v>
      </c>
      <c r="N74" s="9" t="s">
        <v>661</v>
      </c>
      <c r="O74" t="str">
        <f t="shared" si="4"/>
        <v>YES</v>
      </c>
      <c r="P74" t="str">
        <f t="shared" si="5"/>
        <v>YES</v>
      </c>
    </row>
    <row r="75" spans="1:17" x14ac:dyDescent="0.15">
      <c r="A75" s="5">
        <f t="shared" si="3"/>
        <v>1</v>
      </c>
      <c r="B75" s="6">
        <v>73</v>
      </c>
      <c r="C75" t="s">
        <v>727</v>
      </c>
      <c r="D75" t="s">
        <v>507</v>
      </c>
      <c r="E75" t="s">
        <v>663</v>
      </c>
      <c r="F75" t="s">
        <v>725</v>
      </c>
      <c r="G75" t="s">
        <v>725</v>
      </c>
      <c r="H75" t="s">
        <v>123</v>
      </c>
      <c r="I75" s="8">
        <v>1</v>
      </c>
      <c r="K75" s="10">
        <v>118</v>
      </c>
      <c r="L75" s="9" t="s">
        <v>727</v>
      </c>
      <c r="M75" s="11" t="s">
        <v>923</v>
      </c>
      <c r="N75" s="9" t="s">
        <v>663</v>
      </c>
      <c r="O75" t="str">
        <f t="shared" si="4"/>
        <v>YES</v>
      </c>
      <c r="P75" t="str">
        <f t="shared" si="5"/>
        <v>YES</v>
      </c>
    </row>
    <row r="76" spans="1:17" x14ac:dyDescent="0.15">
      <c r="A76" s="5">
        <f t="shared" si="3"/>
        <v>2</v>
      </c>
      <c r="B76" s="6">
        <v>74</v>
      </c>
      <c r="C76" t="s">
        <v>664</v>
      </c>
      <c r="D76" t="s">
        <v>506</v>
      </c>
      <c r="E76" t="s">
        <v>663</v>
      </c>
      <c r="F76" t="s">
        <v>425</v>
      </c>
      <c r="G76" t="s">
        <v>426</v>
      </c>
      <c r="H76" t="s">
        <v>725</v>
      </c>
      <c r="I76" s="8" t="s">
        <v>76</v>
      </c>
      <c r="K76" s="12">
        <v>119120</v>
      </c>
      <c r="L76" s="9" t="s">
        <v>664</v>
      </c>
      <c r="M76" s="9" t="s">
        <v>922</v>
      </c>
      <c r="N76" s="9" t="s">
        <v>663</v>
      </c>
      <c r="O76" t="str">
        <f t="shared" si="4"/>
        <v>YES</v>
      </c>
      <c r="P76" t="str">
        <f t="shared" si="5"/>
        <v>YES</v>
      </c>
      <c r="Q76" s="9" t="s">
        <v>926</v>
      </c>
    </row>
    <row r="77" spans="1:17" x14ac:dyDescent="0.15">
      <c r="A77" s="5">
        <f t="shared" si="3"/>
        <v>1</v>
      </c>
      <c r="B77" s="6">
        <v>75</v>
      </c>
      <c r="C77" t="s">
        <v>728</v>
      </c>
      <c r="D77" t="s">
        <v>507</v>
      </c>
      <c r="E77" t="s">
        <v>665</v>
      </c>
      <c r="F77" t="s">
        <v>725</v>
      </c>
      <c r="G77" t="s">
        <v>725</v>
      </c>
      <c r="H77" t="s">
        <v>124</v>
      </c>
      <c r="I77" s="8">
        <v>1</v>
      </c>
      <c r="K77" s="10">
        <v>121</v>
      </c>
      <c r="L77" s="9" t="s">
        <v>728</v>
      </c>
      <c r="M77" s="11" t="s">
        <v>923</v>
      </c>
      <c r="N77" s="9" t="s">
        <v>665</v>
      </c>
      <c r="O77" t="str">
        <f t="shared" si="4"/>
        <v>YES</v>
      </c>
      <c r="P77" t="str">
        <f t="shared" si="5"/>
        <v>YES</v>
      </c>
    </row>
    <row r="78" spans="1:17" x14ac:dyDescent="0.15">
      <c r="A78" s="5">
        <f t="shared" si="3"/>
        <v>2</v>
      </c>
      <c r="B78" s="6">
        <v>76</v>
      </c>
      <c r="C78" t="s">
        <v>663</v>
      </c>
      <c r="D78" t="s">
        <v>506</v>
      </c>
      <c r="E78" t="s">
        <v>665</v>
      </c>
      <c r="F78" t="s">
        <v>427</v>
      </c>
      <c r="G78" t="s">
        <v>428</v>
      </c>
      <c r="H78" t="s">
        <v>725</v>
      </c>
      <c r="I78" s="5" t="s">
        <v>76</v>
      </c>
      <c r="K78" s="12">
        <v>122123</v>
      </c>
      <c r="L78" s="9" t="s">
        <v>663</v>
      </c>
      <c r="M78" s="9" t="s">
        <v>922</v>
      </c>
      <c r="N78" s="9" t="s">
        <v>665</v>
      </c>
      <c r="O78" t="str">
        <f t="shared" si="4"/>
        <v>YES</v>
      </c>
      <c r="P78" t="str">
        <f t="shared" si="5"/>
        <v>YES</v>
      </c>
    </row>
    <row r="79" spans="1:17" x14ac:dyDescent="0.15">
      <c r="A79" s="5">
        <f t="shared" si="3"/>
        <v>1</v>
      </c>
      <c r="B79" s="6">
        <v>77</v>
      </c>
      <c r="C79" t="s">
        <v>733</v>
      </c>
      <c r="D79" t="s">
        <v>507</v>
      </c>
      <c r="E79" t="s">
        <v>666</v>
      </c>
      <c r="F79" t="s">
        <v>725</v>
      </c>
      <c r="G79" t="s">
        <v>725</v>
      </c>
      <c r="H79" t="s">
        <v>125</v>
      </c>
      <c r="I79" s="5">
        <v>1</v>
      </c>
      <c r="K79" s="10">
        <v>124</v>
      </c>
      <c r="L79" s="9" t="s">
        <v>733</v>
      </c>
      <c r="M79" s="11" t="s">
        <v>923</v>
      </c>
      <c r="N79" s="9" t="s">
        <v>666</v>
      </c>
      <c r="O79" t="str">
        <f t="shared" si="4"/>
        <v>YES</v>
      </c>
      <c r="P79" t="str">
        <f t="shared" si="5"/>
        <v>YES</v>
      </c>
    </row>
    <row r="80" spans="1:17" x14ac:dyDescent="0.15">
      <c r="A80" s="5">
        <f t="shared" si="3"/>
        <v>2</v>
      </c>
      <c r="B80" s="6">
        <v>78</v>
      </c>
      <c r="C80" t="s">
        <v>667</v>
      </c>
      <c r="D80" t="s">
        <v>506</v>
      </c>
      <c r="E80" t="s">
        <v>666</v>
      </c>
      <c r="F80" t="s">
        <v>429</v>
      </c>
      <c r="G80" t="s">
        <v>430</v>
      </c>
      <c r="H80" t="s">
        <v>725</v>
      </c>
      <c r="I80" s="5" t="s">
        <v>76</v>
      </c>
      <c r="K80" s="12">
        <v>125126</v>
      </c>
      <c r="L80" s="9" t="s">
        <v>667</v>
      </c>
      <c r="M80" s="9" t="s">
        <v>922</v>
      </c>
      <c r="N80" s="9" t="s">
        <v>666</v>
      </c>
      <c r="O80" t="str">
        <f t="shared" si="4"/>
        <v>YES</v>
      </c>
      <c r="P80" t="str">
        <f t="shared" si="5"/>
        <v>YES</v>
      </c>
    </row>
    <row r="81" spans="1:16" x14ac:dyDescent="0.15">
      <c r="A81" s="5">
        <f t="shared" si="3"/>
        <v>1</v>
      </c>
      <c r="B81" s="6">
        <v>79</v>
      </c>
      <c r="C81" t="s">
        <v>735</v>
      </c>
      <c r="D81" t="s">
        <v>507</v>
      </c>
      <c r="E81" t="s">
        <v>668</v>
      </c>
      <c r="F81" t="s">
        <v>725</v>
      </c>
      <c r="G81" t="s">
        <v>725</v>
      </c>
      <c r="H81" t="s">
        <v>126</v>
      </c>
      <c r="I81" s="5">
        <v>1</v>
      </c>
      <c r="K81" s="10">
        <v>127</v>
      </c>
      <c r="L81" s="9" t="s">
        <v>735</v>
      </c>
      <c r="M81" s="11" t="s">
        <v>923</v>
      </c>
      <c r="N81" s="9" t="s">
        <v>668</v>
      </c>
      <c r="O81" t="str">
        <f t="shared" si="4"/>
        <v>YES</v>
      </c>
      <c r="P81" t="str">
        <f t="shared" si="5"/>
        <v>YES</v>
      </c>
    </row>
    <row r="82" spans="1:16" x14ac:dyDescent="0.15">
      <c r="A82" s="5">
        <f t="shared" si="3"/>
        <v>2</v>
      </c>
      <c r="B82" s="6">
        <v>80</v>
      </c>
      <c r="C82" t="s">
        <v>669</v>
      </c>
      <c r="D82" t="s">
        <v>506</v>
      </c>
      <c r="E82" t="s">
        <v>668</v>
      </c>
      <c r="F82" t="s">
        <v>431</v>
      </c>
      <c r="G82" t="s">
        <v>432</v>
      </c>
      <c r="H82" t="s">
        <v>725</v>
      </c>
      <c r="I82" s="5" t="s">
        <v>76</v>
      </c>
      <c r="K82" s="12">
        <v>128129</v>
      </c>
      <c r="L82" s="9" t="s">
        <v>669</v>
      </c>
      <c r="M82" s="9" t="s">
        <v>922</v>
      </c>
      <c r="N82" s="9" t="s">
        <v>668</v>
      </c>
      <c r="O82" t="str">
        <f t="shared" si="4"/>
        <v>YES</v>
      </c>
      <c r="P82" t="str">
        <f t="shared" si="5"/>
        <v>YES</v>
      </c>
    </row>
    <row r="83" spans="1:16" x14ac:dyDescent="0.15">
      <c r="A83" s="5">
        <f t="shared" si="3"/>
        <v>2</v>
      </c>
      <c r="B83" s="6">
        <v>81</v>
      </c>
      <c r="C83" t="s">
        <v>670</v>
      </c>
      <c r="D83" t="s">
        <v>506</v>
      </c>
      <c r="E83" t="s">
        <v>668</v>
      </c>
      <c r="F83" t="s">
        <v>433</v>
      </c>
      <c r="G83" t="s">
        <v>434</v>
      </c>
      <c r="H83" t="s">
        <v>725</v>
      </c>
      <c r="I83" s="5" t="s">
        <v>76</v>
      </c>
      <c r="K83" s="12">
        <v>130131</v>
      </c>
      <c r="L83" s="9" t="s">
        <v>670</v>
      </c>
      <c r="M83" s="9" t="s">
        <v>922</v>
      </c>
      <c r="N83" s="9" t="s">
        <v>668</v>
      </c>
      <c r="O83" t="str">
        <f t="shared" si="4"/>
        <v>YES</v>
      </c>
      <c r="P83" t="str">
        <f t="shared" si="5"/>
        <v>YES</v>
      </c>
    </row>
    <row r="84" spans="1:16" x14ac:dyDescent="0.15">
      <c r="A84" s="5">
        <f t="shared" si="3"/>
        <v>2</v>
      </c>
      <c r="B84" s="6">
        <v>82</v>
      </c>
      <c r="C84" t="s">
        <v>671</v>
      </c>
      <c r="D84" t="s">
        <v>506</v>
      </c>
      <c r="E84" t="s">
        <v>672</v>
      </c>
      <c r="F84" t="s">
        <v>435</v>
      </c>
      <c r="G84" t="s">
        <v>436</v>
      </c>
      <c r="H84" t="s">
        <v>725</v>
      </c>
      <c r="I84" s="5" t="s">
        <v>76</v>
      </c>
      <c r="K84" s="12">
        <v>132133</v>
      </c>
      <c r="L84" s="9" t="s">
        <v>671</v>
      </c>
      <c r="M84" s="9" t="s">
        <v>922</v>
      </c>
      <c r="N84" s="9" t="s">
        <v>672</v>
      </c>
      <c r="O84" t="str">
        <f t="shared" si="4"/>
        <v>YES</v>
      </c>
      <c r="P84" t="str">
        <f t="shared" si="5"/>
        <v>YES</v>
      </c>
    </row>
    <row r="85" spans="1:16" x14ac:dyDescent="0.15">
      <c r="A85" s="5">
        <f t="shared" si="3"/>
        <v>1</v>
      </c>
      <c r="B85" s="6">
        <v>83</v>
      </c>
      <c r="C85" t="s">
        <v>672</v>
      </c>
      <c r="D85" t="s">
        <v>507</v>
      </c>
      <c r="E85" t="s">
        <v>673</v>
      </c>
      <c r="F85" t="s">
        <v>725</v>
      </c>
      <c r="G85" t="s">
        <v>725</v>
      </c>
      <c r="H85" t="s">
        <v>127</v>
      </c>
      <c r="I85" s="5" t="s">
        <v>76</v>
      </c>
      <c r="K85" s="10">
        <v>134</v>
      </c>
      <c r="L85" s="9" t="s">
        <v>672</v>
      </c>
      <c r="M85" s="11" t="s">
        <v>923</v>
      </c>
      <c r="N85" s="9" t="s">
        <v>673</v>
      </c>
      <c r="O85" t="str">
        <f t="shared" si="4"/>
        <v>YES</v>
      </c>
      <c r="P85" t="str">
        <f t="shared" si="5"/>
        <v>YES</v>
      </c>
    </row>
    <row r="86" spans="1:16" x14ac:dyDescent="0.15">
      <c r="A86" s="5">
        <f t="shared" si="3"/>
        <v>2</v>
      </c>
      <c r="B86" s="6">
        <v>84</v>
      </c>
      <c r="C86" t="s">
        <v>674</v>
      </c>
      <c r="D86" t="s">
        <v>506</v>
      </c>
      <c r="E86" t="s">
        <v>675</v>
      </c>
      <c r="F86" t="s">
        <v>437</v>
      </c>
      <c r="G86" t="s">
        <v>438</v>
      </c>
      <c r="H86" t="s">
        <v>725</v>
      </c>
      <c r="I86" s="5" t="s">
        <v>76</v>
      </c>
      <c r="K86" s="12">
        <v>135136</v>
      </c>
      <c r="L86" s="9" t="s">
        <v>674</v>
      </c>
      <c r="M86" s="9" t="s">
        <v>922</v>
      </c>
      <c r="N86" s="9" t="s">
        <v>675</v>
      </c>
      <c r="O86" t="str">
        <f t="shared" si="4"/>
        <v>YES</v>
      </c>
      <c r="P86" t="str">
        <f t="shared" si="5"/>
        <v>YES</v>
      </c>
    </row>
    <row r="87" spans="1:16" x14ac:dyDescent="0.15">
      <c r="A87" s="5">
        <f t="shared" si="3"/>
        <v>1</v>
      </c>
      <c r="B87" s="6">
        <v>85</v>
      </c>
      <c r="C87" t="s">
        <v>675</v>
      </c>
      <c r="D87" t="s">
        <v>507</v>
      </c>
      <c r="E87" t="s">
        <v>676</v>
      </c>
      <c r="F87" t="s">
        <v>725</v>
      </c>
      <c r="G87" t="s">
        <v>725</v>
      </c>
      <c r="H87" t="s">
        <v>128</v>
      </c>
      <c r="I87" s="5" t="s">
        <v>76</v>
      </c>
      <c r="K87" s="10">
        <v>137</v>
      </c>
      <c r="L87" s="9" t="s">
        <v>675</v>
      </c>
      <c r="M87" s="11" t="s">
        <v>923</v>
      </c>
      <c r="N87" s="9" t="s">
        <v>676</v>
      </c>
      <c r="O87" t="str">
        <f t="shared" si="4"/>
        <v>YES</v>
      </c>
      <c r="P87" t="str">
        <f t="shared" si="5"/>
        <v>YES</v>
      </c>
    </row>
    <row r="88" spans="1:16" x14ac:dyDescent="0.15">
      <c r="A88" s="5">
        <f t="shared" si="3"/>
        <v>2</v>
      </c>
      <c r="B88" s="6">
        <v>86</v>
      </c>
      <c r="C88" t="s">
        <v>677</v>
      </c>
      <c r="D88" t="s">
        <v>506</v>
      </c>
      <c r="E88" t="s">
        <v>678</v>
      </c>
      <c r="F88" t="s">
        <v>71</v>
      </c>
      <c r="G88" t="s">
        <v>72</v>
      </c>
      <c r="H88" t="s">
        <v>725</v>
      </c>
      <c r="I88" s="5" t="s">
        <v>76</v>
      </c>
      <c r="K88" s="12">
        <v>138139</v>
      </c>
      <c r="L88" s="9" t="s">
        <v>677</v>
      </c>
      <c r="M88" s="9" t="s">
        <v>922</v>
      </c>
      <c r="N88" s="9" t="s">
        <v>678</v>
      </c>
      <c r="O88" t="str">
        <f t="shared" si="4"/>
        <v>YES</v>
      </c>
      <c r="P88" t="str">
        <f t="shared" si="5"/>
        <v>YES</v>
      </c>
    </row>
    <row r="89" spans="1:16" x14ac:dyDescent="0.15">
      <c r="A89" s="5">
        <f t="shared" si="3"/>
        <v>1</v>
      </c>
      <c r="B89" s="6">
        <v>87</v>
      </c>
      <c r="C89" t="s">
        <v>751</v>
      </c>
      <c r="D89" t="s">
        <v>507</v>
      </c>
      <c r="E89" t="s">
        <v>678</v>
      </c>
      <c r="F89" t="s">
        <v>725</v>
      </c>
      <c r="G89" t="s">
        <v>725</v>
      </c>
      <c r="H89" t="s">
        <v>129</v>
      </c>
      <c r="I89" s="5">
        <v>1</v>
      </c>
      <c r="K89" s="10">
        <v>140</v>
      </c>
      <c r="L89" s="9" t="s">
        <v>751</v>
      </c>
      <c r="M89" s="11" t="s">
        <v>923</v>
      </c>
      <c r="N89" s="9" t="s">
        <v>678</v>
      </c>
      <c r="O89" t="str">
        <f t="shared" si="4"/>
        <v>YES</v>
      </c>
      <c r="P89" t="str">
        <f t="shared" si="5"/>
        <v>YES</v>
      </c>
    </row>
    <row r="90" spans="1:16" x14ac:dyDescent="0.15">
      <c r="A90" s="5">
        <f t="shared" si="3"/>
        <v>1</v>
      </c>
      <c r="B90" s="6">
        <v>88</v>
      </c>
      <c r="C90" t="s">
        <v>678</v>
      </c>
      <c r="D90" t="s">
        <v>507</v>
      </c>
      <c r="E90" t="s">
        <v>679</v>
      </c>
      <c r="F90" t="s">
        <v>725</v>
      </c>
      <c r="G90" t="s">
        <v>725</v>
      </c>
      <c r="H90" t="s">
        <v>130</v>
      </c>
      <c r="I90" s="5" t="s">
        <v>76</v>
      </c>
      <c r="K90" s="10">
        <v>141</v>
      </c>
      <c r="L90" s="9" t="s">
        <v>678</v>
      </c>
      <c r="M90" s="11" t="s">
        <v>923</v>
      </c>
      <c r="N90" s="9" t="s">
        <v>679</v>
      </c>
      <c r="O90" t="str">
        <f t="shared" si="4"/>
        <v>YES</v>
      </c>
      <c r="P90" t="str">
        <f t="shared" si="5"/>
        <v>YES</v>
      </c>
    </row>
    <row r="91" spans="1:16" x14ac:dyDescent="0.15">
      <c r="A91" s="5">
        <f t="shared" si="3"/>
        <v>1</v>
      </c>
      <c r="B91" s="6">
        <v>89</v>
      </c>
      <c r="C91" t="s">
        <v>752</v>
      </c>
      <c r="D91" t="s">
        <v>507</v>
      </c>
      <c r="E91" t="s">
        <v>679</v>
      </c>
      <c r="F91" t="s">
        <v>725</v>
      </c>
      <c r="G91" t="s">
        <v>725</v>
      </c>
      <c r="H91" t="s">
        <v>131</v>
      </c>
      <c r="I91" s="5">
        <v>1</v>
      </c>
      <c r="K91" s="10">
        <v>142</v>
      </c>
      <c r="L91" s="9" t="s">
        <v>752</v>
      </c>
      <c r="M91" s="11" t="s">
        <v>923</v>
      </c>
      <c r="N91" s="9" t="s">
        <v>679</v>
      </c>
      <c r="O91" t="str">
        <f t="shared" si="4"/>
        <v>YES</v>
      </c>
      <c r="P91" t="str">
        <f t="shared" si="5"/>
        <v>YES</v>
      </c>
    </row>
    <row r="92" spans="1:16" x14ac:dyDescent="0.15">
      <c r="A92" s="5">
        <f t="shared" si="3"/>
        <v>2</v>
      </c>
      <c r="B92" s="6">
        <v>90</v>
      </c>
      <c r="C92" t="s">
        <v>679</v>
      </c>
      <c r="D92" t="s">
        <v>506</v>
      </c>
      <c r="E92" t="s">
        <v>680</v>
      </c>
      <c r="F92" t="s">
        <v>439</v>
      </c>
      <c r="G92" t="s">
        <v>440</v>
      </c>
      <c r="H92" t="s">
        <v>725</v>
      </c>
      <c r="I92" s="5" t="s">
        <v>76</v>
      </c>
      <c r="K92" s="12">
        <v>143144</v>
      </c>
      <c r="L92" s="9" t="s">
        <v>679</v>
      </c>
      <c r="M92" s="9" t="s">
        <v>922</v>
      </c>
      <c r="N92" s="9" t="s">
        <v>680</v>
      </c>
      <c r="O92" t="str">
        <f t="shared" si="4"/>
        <v>YES</v>
      </c>
      <c r="P92" t="str">
        <f t="shared" si="5"/>
        <v>YES</v>
      </c>
    </row>
    <row r="93" spans="1:16" x14ac:dyDescent="0.15">
      <c r="A93" s="5">
        <f t="shared" si="3"/>
        <v>2</v>
      </c>
      <c r="B93" s="6">
        <v>91</v>
      </c>
      <c r="C93" t="s">
        <v>681</v>
      </c>
      <c r="D93" t="s">
        <v>506</v>
      </c>
      <c r="E93" t="s">
        <v>682</v>
      </c>
      <c r="F93" t="s">
        <v>441</v>
      </c>
      <c r="G93" t="s">
        <v>442</v>
      </c>
      <c r="H93" t="s">
        <v>725</v>
      </c>
      <c r="I93" s="5" t="s">
        <v>76</v>
      </c>
      <c r="K93" s="12">
        <v>145146</v>
      </c>
      <c r="L93" s="9" t="s">
        <v>681</v>
      </c>
      <c r="M93" s="9" t="s">
        <v>922</v>
      </c>
      <c r="N93" s="9" t="s">
        <v>682</v>
      </c>
      <c r="O93" t="str">
        <f t="shared" si="4"/>
        <v>YES</v>
      </c>
      <c r="P93" t="str">
        <f t="shared" si="5"/>
        <v>YES</v>
      </c>
    </row>
    <row r="94" spans="1:16" x14ac:dyDescent="0.15">
      <c r="A94" s="5">
        <f t="shared" si="3"/>
        <v>1</v>
      </c>
      <c r="B94" s="6">
        <v>92</v>
      </c>
      <c r="C94" t="s">
        <v>757</v>
      </c>
      <c r="D94" t="s">
        <v>507</v>
      </c>
      <c r="E94" t="s">
        <v>682</v>
      </c>
      <c r="F94" t="s">
        <v>725</v>
      </c>
      <c r="G94" t="s">
        <v>725</v>
      </c>
      <c r="H94" t="s">
        <v>132</v>
      </c>
      <c r="I94" s="5" t="s">
        <v>76</v>
      </c>
      <c r="K94" s="10">
        <v>147</v>
      </c>
      <c r="L94" s="9" t="s">
        <v>757</v>
      </c>
      <c r="M94" s="11" t="s">
        <v>923</v>
      </c>
      <c r="N94" s="9" t="s">
        <v>682</v>
      </c>
      <c r="O94" t="str">
        <f t="shared" si="4"/>
        <v>YES</v>
      </c>
      <c r="P94" t="str">
        <f t="shared" si="5"/>
        <v>YES</v>
      </c>
    </row>
    <row r="95" spans="1:16" x14ac:dyDescent="0.15">
      <c r="A95" s="5">
        <f t="shared" si="3"/>
        <v>2</v>
      </c>
      <c r="B95" s="6">
        <v>93</v>
      </c>
      <c r="C95" t="s">
        <v>683</v>
      </c>
      <c r="D95" t="s">
        <v>506</v>
      </c>
      <c r="E95" t="s">
        <v>684</v>
      </c>
      <c r="F95" t="s">
        <v>443</v>
      </c>
      <c r="G95" t="s">
        <v>444</v>
      </c>
      <c r="H95" t="s">
        <v>725</v>
      </c>
      <c r="I95" s="5" t="s">
        <v>76</v>
      </c>
      <c r="K95" s="12">
        <v>148149</v>
      </c>
      <c r="L95" s="9" t="s">
        <v>683</v>
      </c>
      <c r="M95" s="9" t="s">
        <v>922</v>
      </c>
      <c r="N95" s="9" t="s">
        <v>684</v>
      </c>
      <c r="O95" t="str">
        <f t="shared" si="4"/>
        <v>YES</v>
      </c>
      <c r="P95" t="str">
        <f t="shared" si="5"/>
        <v>YES</v>
      </c>
    </row>
    <row r="96" spans="1:16" x14ac:dyDescent="0.15">
      <c r="A96" s="5">
        <f t="shared" si="3"/>
        <v>1</v>
      </c>
      <c r="B96" s="6">
        <v>94</v>
      </c>
      <c r="C96" t="s">
        <v>759</v>
      </c>
      <c r="D96" t="s">
        <v>507</v>
      </c>
      <c r="E96" t="s">
        <v>684</v>
      </c>
      <c r="F96" t="s">
        <v>725</v>
      </c>
      <c r="G96" t="s">
        <v>725</v>
      </c>
      <c r="H96" t="s">
        <v>133</v>
      </c>
      <c r="I96" s="5" t="s">
        <v>76</v>
      </c>
      <c r="K96" s="10">
        <v>150</v>
      </c>
      <c r="L96" s="9" t="s">
        <v>759</v>
      </c>
      <c r="M96" s="11" t="s">
        <v>923</v>
      </c>
      <c r="N96" s="9" t="s">
        <v>684</v>
      </c>
      <c r="O96" t="str">
        <f t="shared" si="4"/>
        <v>YES</v>
      </c>
      <c r="P96" t="str">
        <f t="shared" si="5"/>
        <v>YES</v>
      </c>
    </row>
    <row r="97" spans="1:17" x14ac:dyDescent="0.15">
      <c r="A97" s="5">
        <f t="shared" si="3"/>
        <v>2</v>
      </c>
      <c r="B97" s="6">
        <v>95</v>
      </c>
      <c r="C97" t="s">
        <v>684</v>
      </c>
      <c r="D97" t="s">
        <v>506</v>
      </c>
      <c r="E97" t="s">
        <v>685</v>
      </c>
      <c r="F97" t="s">
        <v>445</v>
      </c>
      <c r="G97" t="s">
        <v>446</v>
      </c>
      <c r="H97" t="s">
        <v>725</v>
      </c>
      <c r="I97" s="5" t="s">
        <v>76</v>
      </c>
      <c r="K97" s="12">
        <v>151152</v>
      </c>
      <c r="L97" s="9" t="s">
        <v>684</v>
      </c>
      <c r="M97" s="9" t="s">
        <v>922</v>
      </c>
      <c r="N97" s="9" t="s">
        <v>685</v>
      </c>
      <c r="O97" t="str">
        <f t="shared" si="4"/>
        <v>YES</v>
      </c>
      <c r="P97" t="str">
        <f t="shared" si="5"/>
        <v>YES</v>
      </c>
    </row>
    <row r="98" spans="1:17" x14ac:dyDescent="0.15">
      <c r="A98" s="5">
        <f t="shared" si="3"/>
        <v>2</v>
      </c>
      <c r="B98" s="6">
        <v>96</v>
      </c>
      <c r="C98" t="s">
        <v>686</v>
      </c>
      <c r="D98" t="s">
        <v>506</v>
      </c>
      <c r="E98" t="s">
        <v>687</v>
      </c>
      <c r="F98" t="s">
        <v>447</v>
      </c>
      <c r="G98" t="s">
        <v>448</v>
      </c>
      <c r="H98" t="s">
        <v>725</v>
      </c>
      <c r="I98" s="5" t="s">
        <v>76</v>
      </c>
      <c r="K98" s="12">
        <v>153154</v>
      </c>
      <c r="L98" s="9" t="s">
        <v>686</v>
      </c>
      <c r="M98" s="9" t="s">
        <v>922</v>
      </c>
      <c r="N98" s="9" t="s">
        <v>687</v>
      </c>
      <c r="O98" t="str">
        <f t="shared" si="4"/>
        <v>YES</v>
      </c>
      <c r="P98" t="str">
        <f t="shared" si="5"/>
        <v>YES</v>
      </c>
    </row>
    <row r="99" spans="1:17" x14ac:dyDescent="0.15">
      <c r="A99" s="5">
        <f t="shared" si="3"/>
        <v>1</v>
      </c>
      <c r="B99" s="6">
        <v>97</v>
      </c>
      <c r="C99" t="s">
        <v>687</v>
      </c>
      <c r="D99" t="s">
        <v>507</v>
      </c>
      <c r="E99" t="s">
        <v>688</v>
      </c>
      <c r="F99" t="s">
        <v>725</v>
      </c>
      <c r="G99" t="s">
        <v>725</v>
      </c>
      <c r="H99" t="s">
        <v>134</v>
      </c>
      <c r="I99" s="5" t="s">
        <v>76</v>
      </c>
      <c r="K99" s="10">
        <v>155</v>
      </c>
      <c r="L99" s="9" t="s">
        <v>687</v>
      </c>
      <c r="M99" s="11" t="s">
        <v>923</v>
      </c>
      <c r="N99" s="9" t="s">
        <v>688</v>
      </c>
      <c r="O99" t="str">
        <f t="shared" si="4"/>
        <v>YES</v>
      </c>
      <c r="P99" t="str">
        <f t="shared" si="5"/>
        <v>YES</v>
      </c>
    </row>
    <row r="100" spans="1:17" x14ac:dyDescent="0.15">
      <c r="A100" s="5">
        <f t="shared" si="3"/>
        <v>2</v>
      </c>
      <c r="B100" s="6">
        <v>98</v>
      </c>
      <c r="C100" t="s">
        <v>689</v>
      </c>
      <c r="D100" t="s">
        <v>506</v>
      </c>
      <c r="E100" t="s">
        <v>690</v>
      </c>
      <c r="F100" t="s">
        <v>449</v>
      </c>
      <c r="G100" t="s">
        <v>450</v>
      </c>
      <c r="H100" t="s">
        <v>725</v>
      </c>
      <c r="I100" s="5" t="s">
        <v>76</v>
      </c>
      <c r="K100" s="12">
        <v>156157</v>
      </c>
      <c r="L100" s="9" t="s">
        <v>689</v>
      </c>
      <c r="M100" s="9" t="s">
        <v>922</v>
      </c>
      <c r="N100" s="9" t="s">
        <v>690</v>
      </c>
      <c r="O100" t="str">
        <f t="shared" ref="O100:O131" si="6">IF(L100=C100,"YES","NO")</f>
        <v>YES</v>
      </c>
      <c r="P100" t="str">
        <f t="shared" si="5"/>
        <v>YES</v>
      </c>
    </row>
    <row r="101" spans="1:17" x14ac:dyDescent="0.15">
      <c r="A101" s="5">
        <f t="shared" si="3"/>
        <v>1</v>
      </c>
      <c r="B101" s="6">
        <v>99</v>
      </c>
      <c r="C101" t="s">
        <v>690</v>
      </c>
      <c r="D101" t="s">
        <v>507</v>
      </c>
      <c r="E101" t="s">
        <v>691</v>
      </c>
      <c r="F101" t="s">
        <v>725</v>
      </c>
      <c r="G101" t="s">
        <v>725</v>
      </c>
      <c r="H101" t="s">
        <v>135</v>
      </c>
      <c r="I101" s="5" t="s">
        <v>76</v>
      </c>
      <c r="K101" s="10">
        <v>158</v>
      </c>
      <c r="L101" s="9" t="s">
        <v>690</v>
      </c>
      <c r="M101" s="11" t="s">
        <v>923</v>
      </c>
      <c r="N101" s="9" t="s">
        <v>691</v>
      </c>
      <c r="O101" t="str">
        <f t="shared" si="6"/>
        <v>YES</v>
      </c>
      <c r="P101" t="str">
        <f t="shared" si="5"/>
        <v>YES</v>
      </c>
    </row>
    <row r="102" spans="1:17" x14ac:dyDescent="0.15">
      <c r="A102" s="5">
        <f t="shared" si="3"/>
        <v>2</v>
      </c>
      <c r="B102" s="6">
        <v>100</v>
      </c>
      <c r="C102" t="s">
        <v>692</v>
      </c>
      <c r="D102" t="s">
        <v>506</v>
      </c>
      <c r="E102" t="s">
        <v>693</v>
      </c>
      <c r="F102" t="s">
        <v>451</v>
      </c>
      <c r="G102" t="s">
        <v>452</v>
      </c>
      <c r="H102" t="s">
        <v>725</v>
      </c>
      <c r="I102" s="5">
        <v>8</v>
      </c>
      <c r="K102" s="12">
        <v>159160</v>
      </c>
      <c r="L102" s="9" t="s">
        <v>692</v>
      </c>
      <c r="M102" s="9" t="s">
        <v>922</v>
      </c>
      <c r="N102" s="9" t="s">
        <v>693</v>
      </c>
      <c r="O102" t="str">
        <f t="shared" si="6"/>
        <v>YES</v>
      </c>
      <c r="P102" t="str">
        <f t="shared" si="5"/>
        <v>YES</v>
      </c>
    </row>
    <row r="103" spans="1:17" x14ac:dyDescent="0.15">
      <c r="A103" s="5">
        <f t="shared" si="3"/>
        <v>1</v>
      </c>
      <c r="B103" s="6">
        <v>101</v>
      </c>
      <c r="C103" t="s">
        <v>693</v>
      </c>
      <c r="D103" s="7" t="s">
        <v>507</v>
      </c>
      <c r="E103" t="s">
        <v>694</v>
      </c>
      <c r="F103" t="s">
        <v>725</v>
      </c>
      <c r="G103" t="s">
        <v>725</v>
      </c>
      <c r="H103" t="s">
        <v>453</v>
      </c>
      <c r="I103" s="5">
        <v>8</v>
      </c>
      <c r="K103" s="10">
        <v>161</v>
      </c>
      <c r="L103" s="9" t="s">
        <v>693</v>
      </c>
      <c r="M103" s="11" t="s">
        <v>923</v>
      </c>
      <c r="N103" s="9" t="s">
        <v>694</v>
      </c>
      <c r="O103" t="str">
        <f t="shared" si="6"/>
        <v>YES</v>
      </c>
      <c r="P103" t="str">
        <f t="shared" si="5"/>
        <v>YES</v>
      </c>
    </row>
    <row r="104" spans="1:17" x14ac:dyDescent="0.15">
      <c r="A104" s="5">
        <f t="shared" si="3"/>
        <v>2</v>
      </c>
      <c r="B104" s="6">
        <v>102</v>
      </c>
      <c r="C104" t="s">
        <v>695</v>
      </c>
      <c r="D104" t="s">
        <v>506</v>
      </c>
      <c r="E104" t="s">
        <v>696</v>
      </c>
      <c r="F104" t="s">
        <v>454</v>
      </c>
      <c r="G104" t="s">
        <v>455</v>
      </c>
      <c r="H104" t="s">
        <v>725</v>
      </c>
      <c r="I104" s="5">
        <v>9</v>
      </c>
      <c r="K104" s="12">
        <v>162163</v>
      </c>
      <c r="L104" s="9" t="s">
        <v>695</v>
      </c>
      <c r="M104" s="9" t="s">
        <v>922</v>
      </c>
      <c r="N104" s="9" t="s">
        <v>696</v>
      </c>
      <c r="O104" t="str">
        <f t="shared" si="6"/>
        <v>YES</v>
      </c>
      <c r="P104" t="str">
        <f t="shared" si="5"/>
        <v>YES</v>
      </c>
    </row>
    <row r="105" spans="1:17" x14ac:dyDescent="0.15">
      <c r="A105" s="5">
        <f t="shared" si="3"/>
        <v>1</v>
      </c>
      <c r="B105" s="6">
        <v>103</v>
      </c>
      <c r="C105" t="s">
        <v>696</v>
      </c>
      <c r="D105" t="s">
        <v>507</v>
      </c>
      <c r="E105" t="s">
        <v>697</v>
      </c>
      <c r="F105" t="s">
        <v>725</v>
      </c>
      <c r="G105" t="s">
        <v>725</v>
      </c>
      <c r="H105" t="s">
        <v>136</v>
      </c>
      <c r="I105" s="5">
        <v>9</v>
      </c>
      <c r="K105" s="10">
        <v>164</v>
      </c>
      <c r="L105" s="9" t="s">
        <v>696</v>
      </c>
      <c r="M105" s="11" t="s">
        <v>923</v>
      </c>
      <c r="N105" s="9" t="s">
        <v>697</v>
      </c>
      <c r="O105" t="str">
        <f t="shared" si="6"/>
        <v>YES</v>
      </c>
      <c r="P105" t="str">
        <f t="shared" si="5"/>
        <v>YES</v>
      </c>
    </row>
    <row r="106" spans="1:17" x14ac:dyDescent="0.15">
      <c r="A106" s="5">
        <f t="shared" si="3"/>
        <v>2</v>
      </c>
      <c r="B106" s="6">
        <v>104</v>
      </c>
      <c r="C106" t="s">
        <v>698</v>
      </c>
      <c r="D106" t="s">
        <v>506</v>
      </c>
      <c r="E106" t="s">
        <v>699</v>
      </c>
      <c r="F106" t="s">
        <v>456</v>
      </c>
      <c r="G106" t="s">
        <v>457</v>
      </c>
      <c r="H106" t="s">
        <v>725</v>
      </c>
      <c r="I106" s="5">
        <v>10</v>
      </c>
      <c r="K106" s="12">
        <v>165166</v>
      </c>
      <c r="L106" s="9" t="s">
        <v>698</v>
      </c>
      <c r="M106" s="9" t="s">
        <v>922</v>
      </c>
      <c r="N106" s="9" t="s">
        <v>699</v>
      </c>
      <c r="O106" t="str">
        <f t="shared" si="6"/>
        <v>YES</v>
      </c>
      <c r="P106" t="str">
        <f t="shared" si="5"/>
        <v>YES</v>
      </c>
    </row>
    <row r="107" spans="1:17" x14ac:dyDescent="0.15">
      <c r="A107" s="5">
        <f t="shared" si="3"/>
        <v>2</v>
      </c>
      <c r="B107" s="6">
        <v>105</v>
      </c>
      <c r="C107" t="s">
        <v>700</v>
      </c>
      <c r="D107" t="s">
        <v>506</v>
      </c>
      <c r="E107" t="s">
        <v>701</v>
      </c>
      <c r="F107" t="s">
        <v>458</v>
      </c>
      <c r="G107" t="s">
        <v>459</v>
      </c>
      <c r="H107" t="s">
        <v>725</v>
      </c>
      <c r="I107" s="5">
        <v>10</v>
      </c>
      <c r="K107" s="12">
        <v>167168</v>
      </c>
      <c r="L107" s="9" t="s">
        <v>700</v>
      </c>
      <c r="M107" s="9" t="s">
        <v>922</v>
      </c>
      <c r="N107" s="9" t="s">
        <v>701</v>
      </c>
      <c r="O107" t="str">
        <f t="shared" si="6"/>
        <v>YES</v>
      </c>
      <c r="P107" t="str">
        <f t="shared" si="5"/>
        <v>YES</v>
      </c>
    </row>
    <row r="108" spans="1:17" x14ac:dyDescent="0.15">
      <c r="A108" s="5">
        <f t="shared" si="3"/>
        <v>1</v>
      </c>
      <c r="B108" s="6">
        <v>106</v>
      </c>
      <c r="C108" t="s">
        <v>701</v>
      </c>
      <c r="D108" s="7" t="s">
        <v>507</v>
      </c>
      <c r="E108" t="s">
        <v>702</v>
      </c>
      <c r="F108" t="s">
        <v>725</v>
      </c>
      <c r="G108" t="s">
        <v>725</v>
      </c>
      <c r="H108" t="s">
        <v>460</v>
      </c>
      <c r="I108" s="5">
        <v>10</v>
      </c>
      <c r="K108" s="10">
        <v>169</v>
      </c>
      <c r="L108" s="9" t="s">
        <v>701</v>
      </c>
      <c r="M108" s="11" t="s">
        <v>923</v>
      </c>
      <c r="N108" s="9" t="s">
        <v>702</v>
      </c>
      <c r="O108" t="str">
        <f t="shared" si="6"/>
        <v>YES</v>
      </c>
      <c r="P108" t="str">
        <f t="shared" si="5"/>
        <v>YES</v>
      </c>
    </row>
    <row r="109" spans="1:17" x14ac:dyDescent="0.15">
      <c r="A109" s="5">
        <f t="shared" si="3"/>
        <v>2</v>
      </c>
      <c r="B109" s="6">
        <v>107</v>
      </c>
      <c r="C109" t="s">
        <v>703</v>
      </c>
      <c r="D109" t="s">
        <v>506</v>
      </c>
      <c r="E109" t="s">
        <v>704</v>
      </c>
      <c r="F109" t="s">
        <v>461</v>
      </c>
      <c r="G109" t="s">
        <v>288</v>
      </c>
      <c r="H109" t="s">
        <v>725</v>
      </c>
      <c r="I109" s="5">
        <v>10</v>
      </c>
      <c r="K109" s="12">
        <v>170171</v>
      </c>
      <c r="L109" s="9" t="s">
        <v>703</v>
      </c>
      <c r="M109" s="9" t="s">
        <v>922</v>
      </c>
      <c r="N109" s="9" t="s">
        <v>704</v>
      </c>
      <c r="O109" t="str">
        <f t="shared" si="6"/>
        <v>YES</v>
      </c>
      <c r="P109" t="str">
        <f t="shared" si="5"/>
        <v>YES</v>
      </c>
    </row>
    <row r="110" spans="1:17" x14ac:dyDescent="0.15">
      <c r="A110" s="5">
        <f t="shared" si="3"/>
        <v>2</v>
      </c>
      <c r="B110" s="6">
        <v>108</v>
      </c>
      <c r="C110" t="s">
        <v>705</v>
      </c>
      <c r="D110" t="s">
        <v>506</v>
      </c>
      <c r="E110" t="s">
        <v>706</v>
      </c>
      <c r="F110" t="s">
        <v>289</v>
      </c>
      <c r="G110" t="s">
        <v>290</v>
      </c>
      <c r="H110" t="s">
        <v>725</v>
      </c>
      <c r="I110" s="5">
        <v>10</v>
      </c>
      <c r="K110" s="12">
        <v>172173</v>
      </c>
      <c r="L110" s="9" t="s">
        <v>705</v>
      </c>
      <c r="M110" s="9" t="s">
        <v>922</v>
      </c>
      <c r="N110" s="9" t="s">
        <v>706</v>
      </c>
      <c r="O110" t="str">
        <f t="shared" si="6"/>
        <v>YES</v>
      </c>
      <c r="P110" t="str">
        <f t="shared" si="5"/>
        <v>YES</v>
      </c>
      <c r="Q110" s="9" t="s">
        <v>927</v>
      </c>
    </row>
    <row r="111" spans="1:17" x14ac:dyDescent="0.15">
      <c r="A111" s="5">
        <f t="shared" si="3"/>
        <v>2</v>
      </c>
      <c r="B111" s="6">
        <v>109</v>
      </c>
      <c r="C111" t="s">
        <v>707</v>
      </c>
      <c r="D111" t="s">
        <v>506</v>
      </c>
      <c r="E111" t="s">
        <v>708</v>
      </c>
      <c r="F111" t="s">
        <v>291</v>
      </c>
      <c r="G111" t="s">
        <v>292</v>
      </c>
      <c r="H111" t="s">
        <v>725</v>
      </c>
      <c r="I111" s="5">
        <v>10</v>
      </c>
      <c r="K111" s="12">
        <v>174175</v>
      </c>
      <c r="L111" s="9" t="s">
        <v>707</v>
      </c>
      <c r="M111" s="9" t="s">
        <v>922</v>
      </c>
      <c r="N111" s="9" t="s">
        <v>708</v>
      </c>
      <c r="O111" t="str">
        <f t="shared" si="6"/>
        <v>YES</v>
      </c>
      <c r="P111" t="str">
        <f t="shared" si="5"/>
        <v>YES</v>
      </c>
      <c r="Q111" s="9" t="s">
        <v>928</v>
      </c>
    </row>
    <row r="112" spans="1:17" x14ac:dyDescent="0.15">
      <c r="A112" s="5">
        <f t="shared" si="3"/>
        <v>2</v>
      </c>
      <c r="B112" s="6">
        <v>110</v>
      </c>
      <c r="C112" t="s">
        <v>709</v>
      </c>
      <c r="D112" t="s">
        <v>506</v>
      </c>
      <c r="E112" t="s">
        <v>710</v>
      </c>
      <c r="F112" t="s">
        <v>293</v>
      </c>
      <c r="G112" t="s">
        <v>294</v>
      </c>
      <c r="H112" t="s">
        <v>725</v>
      </c>
      <c r="I112" s="5">
        <v>10</v>
      </c>
      <c r="K112" s="12">
        <v>176177</v>
      </c>
      <c r="L112" s="9" t="s">
        <v>709</v>
      </c>
      <c r="M112" s="9" t="s">
        <v>922</v>
      </c>
      <c r="N112" s="9" t="s">
        <v>710</v>
      </c>
      <c r="O112" t="str">
        <f t="shared" si="6"/>
        <v>YES</v>
      </c>
      <c r="P112" t="str">
        <f t="shared" si="5"/>
        <v>YES</v>
      </c>
    </row>
    <row r="113" spans="1:17" x14ac:dyDescent="0.15">
      <c r="A113" s="5">
        <f t="shared" si="3"/>
        <v>1</v>
      </c>
      <c r="B113" s="6">
        <v>111</v>
      </c>
      <c r="C113" t="s">
        <v>710</v>
      </c>
      <c r="D113" s="7" t="s">
        <v>507</v>
      </c>
      <c r="E113" t="s">
        <v>711</v>
      </c>
      <c r="F113" t="s">
        <v>725</v>
      </c>
      <c r="G113" t="s">
        <v>725</v>
      </c>
      <c r="H113" t="s">
        <v>295</v>
      </c>
      <c r="I113" s="5">
        <v>10</v>
      </c>
      <c r="K113" s="10">
        <v>178</v>
      </c>
      <c r="L113" s="9" t="s">
        <v>710</v>
      </c>
      <c r="M113" s="11" t="s">
        <v>923</v>
      </c>
      <c r="N113" s="9" t="s">
        <v>711</v>
      </c>
      <c r="O113" t="str">
        <f t="shared" si="6"/>
        <v>YES</v>
      </c>
      <c r="P113" t="str">
        <f t="shared" si="5"/>
        <v>YES</v>
      </c>
    </row>
    <row r="114" spans="1:17" x14ac:dyDescent="0.15">
      <c r="A114" s="5">
        <f t="shared" si="3"/>
        <v>2</v>
      </c>
      <c r="B114" s="6">
        <v>112</v>
      </c>
      <c r="C114" t="s">
        <v>712</v>
      </c>
      <c r="D114" t="s">
        <v>506</v>
      </c>
      <c r="E114" t="s">
        <v>713</v>
      </c>
      <c r="F114" t="s">
        <v>296</v>
      </c>
      <c r="G114" t="s">
        <v>297</v>
      </c>
      <c r="H114" t="s">
        <v>725</v>
      </c>
      <c r="I114" s="5">
        <v>10</v>
      </c>
      <c r="K114" s="12">
        <v>179180</v>
      </c>
      <c r="L114" s="9" t="s">
        <v>712</v>
      </c>
      <c r="M114" s="9" t="s">
        <v>922</v>
      </c>
      <c r="N114" s="9" t="s">
        <v>713</v>
      </c>
      <c r="O114" t="str">
        <f t="shared" si="6"/>
        <v>YES</v>
      </c>
      <c r="P114" t="str">
        <f t="shared" si="5"/>
        <v>YES</v>
      </c>
    </row>
    <row r="115" spans="1:17" x14ac:dyDescent="0.15">
      <c r="A115" s="5">
        <f t="shared" si="3"/>
        <v>2</v>
      </c>
      <c r="B115" s="6">
        <v>113</v>
      </c>
      <c r="C115" t="s">
        <v>714</v>
      </c>
      <c r="D115" t="s">
        <v>506</v>
      </c>
      <c r="E115" t="s">
        <v>715</v>
      </c>
      <c r="F115" t="s">
        <v>298</v>
      </c>
      <c r="G115" t="s">
        <v>299</v>
      </c>
      <c r="H115" t="s">
        <v>725</v>
      </c>
      <c r="I115" s="5">
        <v>10</v>
      </c>
      <c r="K115" s="12">
        <v>181182</v>
      </c>
      <c r="L115" s="9" t="s">
        <v>714</v>
      </c>
      <c r="M115" s="9" t="s">
        <v>922</v>
      </c>
      <c r="N115" s="9" t="s">
        <v>715</v>
      </c>
      <c r="O115" t="str">
        <f t="shared" si="6"/>
        <v>YES</v>
      </c>
      <c r="P115" t="str">
        <f t="shared" si="5"/>
        <v>YES</v>
      </c>
    </row>
    <row r="116" spans="1:17" x14ac:dyDescent="0.15">
      <c r="A116" s="5">
        <f t="shared" si="3"/>
        <v>2</v>
      </c>
      <c r="B116" s="6">
        <v>114</v>
      </c>
      <c r="C116" t="s">
        <v>716</v>
      </c>
      <c r="D116" t="s">
        <v>506</v>
      </c>
      <c r="E116" t="s">
        <v>717</v>
      </c>
      <c r="F116" t="s">
        <v>300</v>
      </c>
      <c r="G116" t="s">
        <v>301</v>
      </c>
      <c r="H116" t="s">
        <v>725</v>
      </c>
      <c r="I116" s="5">
        <v>10</v>
      </c>
      <c r="K116" s="12">
        <v>183184</v>
      </c>
      <c r="L116" s="9" t="s">
        <v>716</v>
      </c>
      <c r="M116" s="9" t="s">
        <v>922</v>
      </c>
      <c r="N116" s="9" t="s">
        <v>717</v>
      </c>
      <c r="O116" t="str">
        <f t="shared" si="6"/>
        <v>YES</v>
      </c>
      <c r="P116" t="str">
        <f t="shared" si="5"/>
        <v>YES</v>
      </c>
      <c r="Q116" s="9" t="s">
        <v>929</v>
      </c>
    </row>
    <row r="117" spans="1:17" x14ac:dyDescent="0.15">
      <c r="A117" s="5">
        <f t="shared" si="3"/>
        <v>2</v>
      </c>
      <c r="B117" s="6">
        <v>115</v>
      </c>
      <c r="C117" t="s">
        <v>718</v>
      </c>
      <c r="D117" t="s">
        <v>506</v>
      </c>
      <c r="E117" t="s">
        <v>719</v>
      </c>
      <c r="F117" t="s">
        <v>302</v>
      </c>
      <c r="G117" t="s">
        <v>303</v>
      </c>
      <c r="H117" t="s">
        <v>725</v>
      </c>
      <c r="I117" s="5">
        <v>10</v>
      </c>
      <c r="K117" s="12">
        <v>185186</v>
      </c>
      <c r="L117" s="9" t="s">
        <v>718</v>
      </c>
      <c r="M117" s="9" t="s">
        <v>922</v>
      </c>
      <c r="N117" s="9" t="s">
        <v>719</v>
      </c>
      <c r="O117" t="str">
        <f t="shared" si="6"/>
        <v>YES</v>
      </c>
      <c r="P117" t="str">
        <f t="shared" si="5"/>
        <v>YES</v>
      </c>
    </row>
    <row r="118" spans="1:17" x14ac:dyDescent="0.15">
      <c r="A118" s="5">
        <f t="shared" si="3"/>
        <v>1</v>
      </c>
      <c r="B118" s="6">
        <v>116</v>
      </c>
      <c r="C118" t="s">
        <v>719</v>
      </c>
      <c r="D118" t="s">
        <v>507</v>
      </c>
      <c r="E118" t="s">
        <v>549</v>
      </c>
      <c r="F118" t="s">
        <v>725</v>
      </c>
      <c r="G118" t="s">
        <v>725</v>
      </c>
      <c r="H118" t="s">
        <v>137</v>
      </c>
      <c r="I118" s="5">
        <v>10</v>
      </c>
      <c r="K118" s="10">
        <v>187</v>
      </c>
      <c r="L118" s="9" t="s">
        <v>719</v>
      </c>
      <c r="M118" s="11" t="s">
        <v>923</v>
      </c>
      <c r="N118" s="9" t="s">
        <v>549</v>
      </c>
      <c r="O118" t="str">
        <f t="shared" si="6"/>
        <v>YES</v>
      </c>
      <c r="P118" t="str">
        <f t="shared" si="5"/>
        <v>YES</v>
      </c>
    </row>
    <row r="119" spans="1:17" x14ac:dyDescent="0.15">
      <c r="A119" s="5">
        <f t="shared" si="3"/>
        <v>2</v>
      </c>
      <c r="B119" s="6">
        <v>117</v>
      </c>
      <c r="C119" t="s">
        <v>550</v>
      </c>
      <c r="D119" t="s">
        <v>506</v>
      </c>
      <c r="E119" t="s">
        <v>551</v>
      </c>
      <c r="F119" t="s">
        <v>304</v>
      </c>
      <c r="G119" t="s">
        <v>305</v>
      </c>
      <c r="H119" t="s">
        <v>725</v>
      </c>
      <c r="I119" s="5">
        <v>10</v>
      </c>
      <c r="K119" s="12">
        <v>188189</v>
      </c>
      <c r="L119" s="9" t="s">
        <v>550</v>
      </c>
      <c r="M119" s="9" t="s">
        <v>922</v>
      </c>
      <c r="N119" s="9" t="s">
        <v>551</v>
      </c>
      <c r="O119" t="str">
        <f t="shared" si="6"/>
        <v>YES</v>
      </c>
      <c r="P119" t="str">
        <f t="shared" si="5"/>
        <v>YES</v>
      </c>
    </row>
    <row r="120" spans="1:17" x14ac:dyDescent="0.15">
      <c r="A120" s="5">
        <f t="shared" si="3"/>
        <v>1</v>
      </c>
      <c r="B120" s="6">
        <v>118</v>
      </c>
      <c r="C120" t="s">
        <v>551</v>
      </c>
      <c r="D120" t="s">
        <v>507</v>
      </c>
      <c r="E120" t="s">
        <v>552</v>
      </c>
      <c r="F120" t="s">
        <v>725</v>
      </c>
      <c r="G120" t="s">
        <v>725</v>
      </c>
      <c r="H120" t="s">
        <v>138</v>
      </c>
      <c r="I120" s="5">
        <v>10</v>
      </c>
      <c r="K120" s="10">
        <v>190</v>
      </c>
      <c r="L120" s="9" t="s">
        <v>551</v>
      </c>
      <c r="M120" s="11" t="s">
        <v>923</v>
      </c>
      <c r="N120" s="9" t="s">
        <v>552</v>
      </c>
      <c r="O120" t="str">
        <f t="shared" si="6"/>
        <v>YES</v>
      </c>
      <c r="P120" t="str">
        <f t="shared" si="5"/>
        <v>YES</v>
      </c>
    </row>
    <row r="121" spans="1:17" x14ac:dyDescent="0.15">
      <c r="A121" s="5">
        <f t="shared" si="3"/>
        <v>2</v>
      </c>
      <c r="B121" s="6">
        <v>119</v>
      </c>
      <c r="C121" t="s">
        <v>553</v>
      </c>
      <c r="D121" t="s">
        <v>506</v>
      </c>
      <c r="E121" t="s">
        <v>554</v>
      </c>
      <c r="F121" t="s">
        <v>306</v>
      </c>
      <c r="G121" t="s">
        <v>307</v>
      </c>
      <c r="H121" t="s">
        <v>725</v>
      </c>
      <c r="I121" s="5">
        <v>10</v>
      </c>
      <c r="K121" s="12">
        <v>191192</v>
      </c>
      <c r="L121" s="9" t="s">
        <v>553</v>
      </c>
      <c r="M121" s="9" t="s">
        <v>922</v>
      </c>
      <c r="N121" s="9" t="s">
        <v>554</v>
      </c>
      <c r="O121" t="str">
        <f t="shared" si="6"/>
        <v>YES</v>
      </c>
      <c r="P121" t="str">
        <f t="shared" si="5"/>
        <v>YES</v>
      </c>
    </row>
    <row r="122" spans="1:17" x14ac:dyDescent="0.15">
      <c r="A122" s="5">
        <f t="shared" si="3"/>
        <v>1</v>
      </c>
      <c r="B122" s="6">
        <v>120</v>
      </c>
      <c r="C122" t="s">
        <v>554</v>
      </c>
      <c r="D122" t="s">
        <v>507</v>
      </c>
      <c r="E122" t="s">
        <v>555</v>
      </c>
      <c r="F122" t="s">
        <v>725</v>
      </c>
      <c r="G122" t="s">
        <v>725</v>
      </c>
      <c r="H122" t="s">
        <v>139</v>
      </c>
      <c r="I122" s="5">
        <v>10</v>
      </c>
      <c r="K122" s="10">
        <v>193</v>
      </c>
      <c r="L122" s="9" t="s">
        <v>554</v>
      </c>
      <c r="M122" s="11" t="s">
        <v>923</v>
      </c>
      <c r="N122" s="9" t="s">
        <v>555</v>
      </c>
      <c r="O122" t="str">
        <f t="shared" si="6"/>
        <v>YES</v>
      </c>
      <c r="P122" t="str">
        <f t="shared" si="5"/>
        <v>YES</v>
      </c>
    </row>
    <row r="123" spans="1:17" x14ac:dyDescent="0.15">
      <c r="A123" s="5">
        <f t="shared" si="3"/>
        <v>2</v>
      </c>
      <c r="B123" s="6">
        <v>121</v>
      </c>
      <c r="C123" t="s">
        <v>103</v>
      </c>
      <c r="D123" t="s">
        <v>506</v>
      </c>
      <c r="E123" t="s">
        <v>104</v>
      </c>
      <c r="F123" t="s">
        <v>308</v>
      </c>
      <c r="G123" t="s">
        <v>309</v>
      </c>
      <c r="H123" t="s">
        <v>725</v>
      </c>
      <c r="I123" s="5">
        <v>11</v>
      </c>
      <c r="K123" s="12">
        <v>265266</v>
      </c>
      <c r="L123" s="9" t="s">
        <v>103</v>
      </c>
      <c r="M123" s="9" t="s">
        <v>922</v>
      </c>
      <c r="N123" s="9" t="s">
        <v>104</v>
      </c>
      <c r="O123" t="str">
        <f t="shared" si="6"/>
        <v>YES</v>
      </c>
      <c r="P123" t="str">
        <f t="shared" si="5"/>
        <v>YES</v>
      </c>
    </row>
    <row r="124" spans="1:17" x14ac:dyDescent="0.15">
      <c r="A124" s="5">
        <f t="shared" si="3"/>
        <v>2</v>
      </c>
      <c r="B124" s="6">
        <v>122</v>
      </c>
      <c r="C124" t="s">
        <v>105</v>
      </c>
      <c r="D124" t="s">
        <v>506</v>
      </c>
      <c r="E124" t="s">
        <v>106</v>
      </c>
      <c r="F124" t="s">
        <v>310</v>
      </c>
      <c r="G124" t="s">
        <v>311</v>
      </c>
      <c r="H124" t="s">
        <v>725</v>
      </c>
      <c r="I124" s="5">
        <v>11</v>
      </c>
      <c r="K124" s="12">
        <v>267268</v>
      </c>
      <c r="L124" s="9" t="s">
        <v>105</v>
      </c>
      <c r="M124" s="9" t="s">
        <v>922</v>
      </c>
      <c r="N124" s="9" t="s">
        <v>106</v>
      </c>
      <c r="O124" t="str">
        <f t="shared" si="6"/>
        <v>YES</v>
      </c>
      <c r="P124" t="str">
        <f t="shared" si="5"/>
        <v>YES</v>
      </c>
    </row>
    <row r="125" spans="1:17" x14ac:dyDescent="0.15">
      <c r="A125" s="5">
        <f t="shared" si="3"/>
        <v>2</v>
      </c>
      <c r="B125" s="6">
        <v>123</v>
      </c>
      <c r="C125" t="s">
        <v>107</v>
      </c>
      <c r="D125" t="s">
        <v>506</v>
      </c>
      <c r="E125" t="s">
        <v>108</v>
      </c>
      <c r="F125" t="s">
        <v>312</v>
      </c>
      <c r="G125" t="s">
        <v>313</v>
      </c>
      <c r="H125" t="s">
        <v>725</v>
      </c>
      <c r="I125" s="5">
        <v>11</v>
      </c>
      <c r="K125" s="12">
        <v>269270</v>
      </c>
      <c r="L125" s="9" t="s">
        <v>107</v>
      </c>
      <c r="M125" s="9" t="s">
        <v>922</v>
      </c>
      <c r="N125" s="9" t="s">
        <v>108</v>
      </c>
      <c r="O125" t="str">
        <f t="shared" si="6"/>
        <v>YES</v>
      </c>
      <c r="P125" t="str">
        <f t="shared" si="5"/>
        <v>YES</v>
      </c>
    </row>
    <row r="126" spans="1:17" x14ac:dyDescent="0.15">
      <c r="A126" s="5">
        <f t="shared" si="3"/>
        <v>2</v>
      </c>
      <c r="B126" s="6">
        <v>124</v>
      </c>
      <c r="C126" t="s">
        <v>109</v>
      </c>
      <c r="D126" t="s">
        <v>506</v>
      </c>
      <c r="E126" t="s">
        <v>110</v>
      </c>
      <c r="F126" t="s">
        <v>314</v>
      </c>
      <c r="G126" t="s">
        <v>315</v>
      </c>
      <c r="H126" t="s">
        <v>725</v>
      </c>
      <c r="I126" s="5">
        <v>11</v>
      </c>
      <c r="K126" s="12">
        <v>271272</v>
      </c>
      <c r="L126" s="9" t="s">
        <v>109</v>
      </c>
      <c r="M126" s="9" t="s">
        <v>922</v>
      </c>
      <c r="N126" s="9" t="s">
        <v>110</v>
      </c>
      <c r="O126" t="str">
        <f t="shared" si="6"/>
        <v>YES</v>
      </c>
      <c r="P126" t="str">
        <f t="shared" si="5"/>
        <v>YES</v>
      </c>
    </row>
    <row r="127" spans="1:17" x14ac:dyDescent="0.15">
      <c r="A127" s="5">
        <f t="shared" si="3"/>
        <v>2</v>
      </c>
      <c r="B127" s="6">
        <v>125</v>
      </c>
      <c r="C127" t="s">
        <v>111</v>
      </c>
      <c r="D127" t="s">
        <v>506</v>
      </c>
      <c r="E127" t="s">
        <v>112</v>
      </c>
      <c r="F127" t="s">
        <v>316</v>
      </c>
      <c r="G127" t="s">
        <v>317</v>
      </c>
      <c r="H127" t="s">
        <v>725</v>
      </c>
      <c r="I127" s="5">
        <v>11</v>
      </c>
      <c r="K127" s="12">
        <v>273274</v>
      </c>
      <c r="L127" s="9" t="s">
        <v>111</v>
      </c>
      <c r="M127" s="9" t="s">
        <v>922</v>
      </c>
      <c r="N127" s="9" t="s">
        <v>112</v>
      </c>
      <c r="O127" t="str">
        <f t="shared" si="6"/>
        <v>YES</v>
      </c>
      <c r="P127" t="str">
        <f t="shared" si="5"/>
        <v>YES</v>
      </c>
    </row>
    <row r="128" spans="1:17" x14ac:dyDescent="0.15">
      <c r="A128" s="5">
        <f t="shared" si="3"/>
        <v>2</v>
      </c>
      <c r="B128" s="6">
        <v>126</v>
      </c>
      <c r="C128" t="s">
        <v>113</v>
      </c>
      <c r="D128" t="s">
        <v>506</v>
      </c>
      <c r="E128" t="s">
        <v>114</v>
      </c>
      <c r="F128" t="s">
        <v>318</v>
      </c>
      <c r="G128" t="s">
        <v>319</v>
      </c>
      <c r="H128" t="s">
        <v>725</v>
      </c>
      <c r="I128" s="5">
        <v>11</v>
      </c>
      <c r="K128" s="12">
        <v>275276</v>
      </c>
      <c r="L128" s="9" t="s">
        <v>113</v>
      </c>
      <c r="M128" s="9" t="s">
        <v>922</v>
      </c>
      <c r="N128" s="9" t="s">
        <v>114</v>
      </c>
      <c r="O128" t="str">
        <f t="shared" si="6"/>
        <v>YES</v>
      </c>
      <c r="P128" t="str">
        <f t="shared" si="5"/>
        <v>YES</v>
      </c>
    </row>
    <row r="129" spans="1:16" x14ac:dyDescent="0.15">
      <c r="A129" s="5">
        <f t="shared" si="3"/>
        <v>2</v>
      </c>
      <c r="B129" s="6">
        <v>127</v>
      </c>
      <c r="C129" s="4" t="s">
        <v>27</v>
      </c>
      <c r="D129" t="s">
        <v>506</v>
      </c>
      <c r="E129" t="s">
        <v>28</v>
      </c>
      <c r="F129" t="s">
        <v>320</v>
      </c>
      <c r="G129" t="s">
        <v>321</v>
      </c>
      <c r="H129" t="s">
        <v>725</v>
      </c>
      <c r="I129" s="5">
        <v>11</v>
      </c>
      <c r="K129" s="12">
        <v>291292</v>
      </c>
      <c r="L129" s="9" t="s">
        <v>27</v>
      </c>
      <c r="M129" s="9" t="s">
        <v>922</v>
      </c>
      <c r="N129" s="9" t="s">
        <v>28</v>
      </c>
      <c r="O129" t="str">
        <f t="shared" si="6"/>
        <v>YES</v>
      </c>
      <c r="P129" t="str">
        <f t="shared" si="5"/>
        <v>YES</v>
      </c>
    </row>
    <row r="130" spans="1:16" x14ac:dyDescent="0.15">
      <c r="A130" s="5">
        <f t="shared" si="3"/>
        <v>2</v>
      </c>
      <c r="B130" s="6">
        <v>128</v>
      </c>
      <c r="C130" t="s">
        <v>29</v>
      </c>
      <c r="D130" t="s">
        <v>506</v>
      </c>
      <c r="E130" t="s">
        <v>30</v>
      </c>
      <c r="F130" t="s">
        <v>322</v>
      </c>
      <c r="G130" t="s">
        <v>323</v>
      </c>
      <c r="H130" t="s">
        <v>725</v>
      </c>
      <c r="I130" s="5">
        <v>11</v>
      </c>
      <c r="K130" s="12">
        <v>293294</v>
      </c>
      <c r="L130" s="9" t="s">
        <v>29</v>
      </c>
      <c r="M130" s="9" t="s">
        <v>922</v>
      </c>
      <c r="N130" s="9" t="s">
        <v>30</v>
      </c>
      <c r="O130" t="str">
        <f t="shared" si="6"/>
        <v>YES</v>
      </c>
      <c r="P130" t="str">
        <f t="shared" si="5"/>
        <v>YES</v>
      </c>
    </row>
    <row r="131" spans="1:16" x14ac:dyDescent="0.15">
      <c r="A131" s="5">
        <f t="shared" ref="A131:A194" si="7">IF(D131="→",1,2)</f>
        <v>2</v>
      </c>
      <c r="B131" s="6">
        <v>129</v>
      </c>
      <c r="C131" t="s">
        <v>31</v>
      </c>
      <c r="D131" t="s">
        <v>506</v>
      </c>
      <c r="E131" t="s">
        <v>32</v>
      </c>
      <c r="F131" t="s">
        <v>324</v>
      </c>
      <c r="G131" t="s">
        <v>325</v>
      </c>
      <c r="H131" t="s">
        <v>725</v>
      </c>
      <c r="I131" s="5">
        <v>11</v>
      </c>
      <c r="K131" s="12">
        <v>295296</v>
      </c>
      <c r="L131" s="9" t="s">
        <v>31</v>
      </c>
      <c r="M131" s="9" t="s">
        <v>922</v>
      </c>
      <c r="N131" s="9" t="s">
        <v>32</v>
      </c>
      <c r="O131" t="str">
        <f t="shared" si="6"/>
        <v>YES</v>
      </c>
      <c r="P131" t="str">
        <f t="shared" si="5"/>
        <v>YES</v>
      </c>
    </row>
    <row r="132" spans="1:16" x14ac:dyDescent="0.15">
      <c r="A132" s="5">
        <f t="shared" si="7"/>
        <v>2</v>
      </c>
      <c r="B132" s="6">
        <v>130</v>
      </c>
      <c r="C132" t="s">
        <v>33</v>
      </c>
      <c r="D132" t="s">
        <v>506</v>
      </c>
      <c r="E132" t="s">
        <v>34</v>
      </c>
      <c r="F132" t="s">
        <v>326</v>
      </c>
      <c r="G132" t="s">
        <v>327</v>
      </c>
      <c r="H132" t="s">
        <v>725</v>
      </c>
      <c r="I132" s="5">
        <v>11</v>
      </c>
      <c r="K132" s="12">
        <v>297298</v>
      </c>
      <c r="L132" s="9" t="s">
        <v>33</v>
      </c>
      <c r="M132" s="9" t="s">
        <v>922</v>
      </c>
      <c r="N132" s="9" t="s">
        <v>34</v>
      </c>
      <c r="O132" t="str">
        <f t="shared" ref="O132:O163" si="8">IF(L132=C132,"YES","NO")</f>
        <v>YES</v>
      </c>
      <c r="P132" t="str">
        <f t="shared" ref="P132:P195" si="9">IF(N132=E132,"YES","NO")</f>
        <v>YES</v>
      </c>
    </row>
    <row r="133" spans="1:16" x14ac:dyDescent="0.15">
      <c r="A133" s="5">
        <f t="shared" si="7"/>
        <v>2</v>
      </c>
      <c r="B133" s="6">
        <v>131</v>
      </c>
      <c r="C133" t="s">
        <v>35</v>
      </c>
      <c r="D133" t="s">
        <v>506</v>
      </c>
      <c r="E133" t="s">
        <v>36</v>
      </c>
      <c r="F133" t="s">
        <v>328</v>
      </c>
      <c r="G133" t="s">
        <v>329</v>
      </c>
      <c r="H133" t="s">
        <v>725</v>
      </c>
      <c r="I133" s="5">
        <v>11</v>
      </c>
      <c r="K133" s="12">
        <v>299300</v>
      </c>
      <c r="L133" s="9" t="s">
        <v>35</v>
      </c>
      <c r="M133" s="9" t="s">
        <v>922</v>
      </c>
      <c r="N133" s="9" t="s">
        <v>36</v>
      </c>
      <c r="O133" t="str">
        <f t="shared" si="8"/>
        <v>YES</v>
      </c>
      <c r="P133" t="str">
        <f t="shared" si="9"/>
        <v>YES</v>
      </c>
    </row>
    <row r="134" spans="1:16" x14ac:dyDescent="0.15">
      <c r="A134" s="5">
        <f t="shared" si="7"/>
        <v>2</v>
      </c>
      <c r="B134" s="6">
        <v>132</v>
      </c>
      <c r="C134" t="s">
        <v>37</v>
      </c>
      <c r="D134" t="s">
        <v>506</v>
      </c>
      <c r="E134" t="s">
        <v>38</v>
      </c>
      <c r="F134" t="s">
        <v>330</v>
      </c>
      <c r="G134" t="s">
        <v>331</v>
      </c>
      <c r="H134" t="s">
        <v>725</v>
      </c>
      <c r="I134" s="5">
        <v>11</v>
      </c>
      <c r="K134" s="12">
        <v>301302</v>
      </c>
      <c r="L134" s="9" t="s">
        <v>37</v>
      </c>
      <c r="M134" s="9" t="s">
        <v>922</v>
      </c>
      <c r="N134" s="9" t="s">
        <v>38</v>
      </c>
      <c r="O134" t="str">
        <f t="shared" si="8"/>
        <v>YES</v>
      </c>
      <c r="P134" t="str">
        <f t="shared" si="9"/>
        <v>YES</v>
      </c>
    </row>
    <row r="135" spans="1:16" x14ac:dyDescent="0.15">
      <c r="A135" s="5">
        <f t="shared" si="7"/>
        <v>2</v>
      </c>
      <c r="B135" s="6">
        <v>133</v>
      </c>
      <c r="C135" t="s">
        <v>556</v>
      </c>
      <c r="D135" t="s">
        <v>506</v>
      </c>
      <c r="E135" t="s">
        <v>557</v>
      </c>
      <c r="F135" t="s">
        <v>332</v>
      </c>
      <c r="G135" t="s">
        <v>333</v>
      </c>
      <c r="H135" t="s">
        <v>725</v>
      </c>
      <c r="I135" s="5">
        <v>12</v>
      </c>
      <c r="K135" s="12">
        <v>194195</v>
      </c>
      <c r="L135" s="9" t="s">
        <v>556</v>
      </c>
      <c r="M135" s="9" t="s">
        <v>922</v>
      </c>
      <c r="N135" s="9" t="s">
        <v>557</v>
      </c>
      <c r="O135" t="str">
        <f t="shared" si="8"/>
        <v>YES</v>
      </c>
      <c r="P135" t="str">
        <f t="shared" si="9"/>
        <v>YES</v>
      </c>
    </row>
    <row r="136" spans="1:16" x14ac:dyDescent="0.15">
      <c r="A136" s="5">
        <f t="shared" si="7"/>
        <v>1</v>
      </c>
      <c r="B136" s="6">
        <v>134</v>
      </c>
      <c r="C136" t="s">
        <v>557</v>
      </c>
      <c r="D136" t="s">
        <v>507</v>
      </c>
      <c r="E136" t="s">
        <v>558</v>
      </c>
      <c r="F136" t="s">
        <v>725</v>
      </c>
      <c r="G136" t="s">
        <v>725</v>
      </c>
      <c r="H136" t="s">
        <v>140</v>
      </c>
      <c r="I136" s="5">
        <v>12</v>
      </c>
      <c r="K136" s="10">
        <v>196</v>
      </c>
      <c r="L136" s="9" t="s">
        <v>557</v>
      </c>
      <c r="M136" s="11" t="s">
        <v>923</v>
      </c>
      <c r="N136" s="9" t="s">
        <v>558</v>
      </c>
      <c r="O136" t="str">
        <f t="shared" si="8"/>
        <v>YES</v>
      </c>
      <c r="P136" t="str">
        <f t="shared" si="9"/>
        <v>YES</v>
      </c>
    </row>
    <row r="137" spans="1:16" x14ac:dyDescent="0.15">
      <c r="A137" s="5">
        <f t="shared" si="7"/>
        <v>2</v>
      </c>
      <c r="B137" s="6">
        <v>135</v>
      </c>
      <c r="C137" t="s">
        <v>559</v>
      </c>
      <c r="D137" t="s">
        <v>506</v>
      </c>
      <c r="E137" t="s">
        <v>560</v>
      </c>
      <c r="F137" t="s">
        <v>334</v>
      </c>
      <c r="G137" t="s">
        <v>335</v>
      </c>
      <c r="H137" t="s">
        <v>725</v>
      </c>
      <c r="I137" s="5">
        <v>12</v>
      </c>
      <c r="K137" s="12">
        <v>197198</v>
      </c>
      <c r="L137" s="9" t="s">
        <v>559</v>
      </c>
      <c r="M137" s="9" t="s">
        <v>922</v>
      </c>
      <c r="N137" s="9" t="s">
        <v>560</v>
      </c>
      <c r="O137" t="str">
        <f t="shared" si="8"/>
        <v>YES</v>
      </c>
      <c r="P137" t="str">
        <f t="shared" si="9"/>
        <v>YES</v>
      </c>
    </row>
    <row r="138" spans="1:16" x14ac:dyDescent="0.15">
      <c r="A138" s="5">
        <f t="shared" si="7"/>
        <v>1</v>
      </c>
      <c r="B138" s="6">
        <v>136</v>
      </c>
      <c r="C138" t="s">
        <v>560</v>
      </c>
      <c r="D138" t="s">
        <v>507</v>
      </c>
      <c r="E138" t="s">
        <v>561</v>
      </c>
      <c r="F138" t="s">
        <v>725</v>
      </c>
      <c r="G138" t="s">
        <v>725</v>
      </c>
      <c r="H138" t="s">
        <v>141</v>
      </c>
      <c r="I138" s="5">
        <v>12</v>
      </c>
      <c r="K138" s="10">
        <v>199</v>
      </c>
      <c r="L138" s="9" t="s">
        <v>560</v>
      </c>
      <c r="M138" s="11" t="s">
        <v>923</v>
      </c>
      <c r="N138" s="9" t="s">
        <v>561</v>
      </c>
      <c r="O138" t="str">
        <f t="shared" si="8"/>
        <v>YES</v>
      </c>
      <c r="P138" t="str">
        <f t="shared" si="9"/>
        <v>YES</v>
      </c>
    </row>
    <row r="139" spans="1:16" x14ac:dyDescent="0.15">
      <c r="A139" s="5">
        <f t="shared" si="7"/>
        <v>2</v>
      </c>
      <c r="B139" s="6">
        <v>137</v>
      </c>
      <c r="C139" t="s">
        <v>562</v>
      </c>
      <c r="D139" t="s">
        <v>506</v>
      </c>
      <c r="E139" t="s">
        <v>563</v>
      </c>
      <c r="F139" t="s">
        <v>336</v>
      </c>
      <c r="G139" t="s">
        <v>337</v>
      </c>
      <c r="H139" t="s">
        <v>725</v>
      </c>
      <c r="I139" s="5">
        <v>12</v>
      </c>
      <c r="K139" s="12">
        <v>200201</v>
      </c>
      <c r="L139" s="9" t="s">
        <v>562</v>
      </c>
      <c r="M139" s="9" t="s">
        <v>922</v>
      </c>
      <c r="N139" s="9" t="s">
        <v>563</v>
      </c>
      <c r="O139" t="str">
        <f t="shared" si="8"/>
        <v>YES</v>
      </c>
      <c r="P139" t="str">
        <f t="shared" si="9"/>
        <v>YES</v>
      </c>
    </row>
    <row r="140" spans="1:16" x14ac:dyDescent="0.15">
      <c r="A140" s="5">
        <f t="shared" si="7"/>
        <v>1</v>
      </c>
      <c r="B140" s="6">
        <v>138</v>
      </c>
      <c r="C140" t="s">
        <v>563</v>
      </c>
      <c r="D140" t="s">
        <v>507</v>
      </c>
      <c r="E140" t="s">
        <v>564</v>
      </c>
      <c r="F140" t="s">
        <v>725</v>
      </c>
      <c r="G140" t="s">
        <v>725</v>
      </c>
      <c r="H140" t="s">
        <v>142</v>
      </c>
      <c r="I140" s="5">
        <v>12</v>
      </c>
      <c r="K140" s="10">
        <v>202</v>
      </c>
      <c r="L140" s="9" t="s">
        <v>563</v>
      </c>
      <c r="M140" s="11" t="s">
        <v>923</v>
      </c>
      <c r="N140" s="9" t="s">
        <v>564</v>
      </c>
      <c r="O140" t="str">
        <f t="shared" si="8"/>
        <v>YES</v>
      </c>
      <c r="P140" t="str">
        <f t="shared" si="9"/>
        <v>YES</v>
      </c>
    </row>
    <row r="141" spans="1:16" x14ac:dyDescent="0.15">
      <c r="A141" s="5">
        <f t="shared" si="7"/>
        <v>2</v>
      </c>
      <c r="B141" s="6">
        <v>139</v>
      </c>
      <c r="C141" t="s">
        <v>565</v>
      </c>
      <c r="D141" t="s">
        <v>506</v>
      </c>
      <c r="E141" t="s">
        <v>566</v>
      </c>
      <c r="F141" t="s">
        <v>338</v>
      </c>
      <c r="G141" t="s">
        <v>339</v>
      </c>
      <c r="H141" t="s">
        <v>725</v>
      </c>
      <c r="I141" s="5">
        <v>12</v>
      </c>
      <c r="K141" s="12">
        <v>203204</v>
      </c>
      <c r="L141" s="9" t="s">
        <v>565</v>
      </c>
      <c r="M141" s="9" t="s">
        <v>922</v>
      </c>
      <c r="N141" s="9" t="s">
        <v>566</v>
      </c>
      <c r="O141" t="str">
        <f t="shared" si="8"/>
        <v>YES</v>
      </c>
      <c r="P141" t="str">
        <f t="shared" si="9"/>
        <v>YES</v>
      </c>
    </row>
    <row r="142" spans="1:16" x14ac:dyDescent="0.15">
      <c r="A142" s="5">
        <f t="shared" si="7"/>
        <v>1</v>
      </c>
      <c r="B142" s="6">
        <v>140</v>
      </c>
      <c r="C142" t="s">
        <v>566</v>
      </c>
      <c r="D142" t="s">
        <v>507</v>
      </c>
      <c r="E142" t="s">
        <v>567</v>
      </c>
      <c r="F142" t="s">
        <v>725</v>
      </c>
      <c r="G142" t="s">
        <v>725</v>
      </c>
      <c r="H142" t="s">
        <v>143</v>
      </c>
      <c r="I142" s="5">
        <v>12</v>
      </c>
      <c r="K142" s="10">
        <v>205</v>
      </c>
      <c r="L142" s="9" t="s">
        <v>566</v>
      </c>
      <c r="M142" s="11" t="s">
        <v>923</v>
      </c>
      <c r="N142" s="9" t="s">
        <v>567</v>
      </c>
      <c r="O142" t="str">
        <f t="shared" si="8"/>
        <v>YES</v>
      </c>
      <c r="P142" t="str">
        <f t="shared" si="9"/>
        <v>YES</v>
      </c>
    </row>
    <row r="143" spans="1:16" x14ac:dyDescent="0.15">
      <c r="A143" s="5">
        <f t="shared" si="7"/>
        <v>2</v>
      </c>
      <c r="B143" s="6">
        <v>141</v>
      </c>
      <c r="C143" t="s">
        <v>568</v>
      </c>
      <c r="D143" t="s">
        <v>506</v>
      </c>
      <c r="E143" t="s">
        <v>569</v>
      </c>
      <c r="F143" t="s">
        <v>340</v>
      </c>
      <c r="G143" t="s">
        <v>341</v>
      </c>
      <c r="H143" t="s">
        <v>725</v>
      </c>
      <c r="I143" s="5" t="s">
        <v>77</v>
      </c>
      <c r="K143" s="12">
        <v>206207</v>
      </c>
      <c r="L143" s="9" t="s">
        <v>568</v>
      </c>
      <c r="M143" s="9" t="s">
        <v>922</v>
      </c>
      <c r="N143" s="9" t="s">
        <v>569</v>
      </c>
      <c r="O143" t="str">
        <f t="shared" si="8"/>
        <v>YES</v>
      </c>
      <c r="P143" t="str">
        <f t="shared" si="9"/>
        <v>YES</v>
      </c>
    </row>
    <row r="144" spans="1:16" x14ac:dyDescent="0.15">
      <c r="A144" s="5">
        <f t="shared" si="7"/>
        <v>1</v>
      </c>
      <c r="B144" s="6">
        <v>142</v>
      </c>
      <c r="C144" t="s">
        <v>569</v>
      </c>
      <c r="D144" t="s">
        <v>507</v>
      </c>
      <c r="E144" t="s">
        <v>570</v>
      </c>
      <c r="F144" t="s">
        <v>725</v>
      </c>
      <c r="G144" t="s">
        <v>725</v>
      </c>
      <c r="H144" t="s">
        <v>144</v>
      </c>
      <c r="I144" s="5" t="s">
        <v>77</v>
      </c>
      <c r="K144" s="10">
        <v>208</v>
      </c>
      <c r="L144" s="9" t="s">
        <v>569</v>
      </c>
      <c r="M144" s="11" t="s">
        <v>923</v>
      </c>
      <c r="N144" s="9" t="s">
        <v>570</v>
      </c>
      <c r="O144" t="str">
        <f t="shared" si="8"/>
        <v>YES</v>
      </c>
      <c r="P144" t="str">
        <f t="shared" si="9"/>
        <v>YES</v>
      </c>
    </row>
    <row r="145" spans="1:16" x14ac:dyDescent="0.15">
      <c r="A145" s="5">
        <f t="shared" si="7"/>
        <v>2</v>
      </c>
      <c r="B145" s="6">
        <v>143</v>
      </c>
      <c r="C145" t="s">
        <v>571</v>
      </c>
      <c r="D145" t="s">
        <v>506</v>
      </c>
      <c r="E145" t="s">
        <v>572</v>
      </c>
      <c r="F145" t="s">
        <v>342</v>
      </c>
      <c r="G145" t="s">
        <v>343</v>
      </c>
      <c r="H145" t="s">
        <v>725</v>
      </c>
      <c r="I145" s="5" t="s">
        <v>77</v>
      </c>
      <c r="K145" s="12">
        <v>209210</v>
      </c>
      <c r="L145" s="9" t="s">
        <v>571</v>
      </c>
      <c r="M145" s="9" t="s">
        <v>922</v>
      </c>
      <c r="N145" s="9" t="s">
        <v>572</v>
      </c>
      <c r="O145" t="str">
        <f t="shared" si="8"/>
        <v>YES</v>
      </c>
      <c r="P145" t="str">
        <f t="shared" si="9"/>
        <v>YES</v>
      </c>
    </row>
    <row r="146" spans="1:16" x14ac:dyDescent="0.15">
      <c r="A146" s="5">
        <f t="shared" si="7"/>
        <v>1</v>
      </c>
      <c r="B146" s="6">
        <v>144</v>
      </c>
      <c r="C146" t="s">
        <v>572</v>
      </c>
      <c r="D146" t="s">
        <v>507</v>
      </c>
      <c r="E146" t="s">
        <v>573</v>
      </c>
      <c r="F146" t="s">
        <v>725</v>
      </c>
      <c r="G146" t="s">
        <v>725</v>
      </c>
      <c r="H146" t="s">
        <v>145</v>
      </c>
      <c r="I146" s="5" t="s">
        <v>77</v>
      </c>
      <c r="K146" s="10">
        <v>211</v>
      </c>
      <c r="L146" s="9" t="s">
        <v>572</v>
      </c>
      <c r="M146" s="11" t="s">
        <v>923</v>
      </c>
      <c r="N146" s="9" t="s">
        <v>573</v>
      </c>
      <c r="O146" t="str">
        <f t="shared" si="8"/>
        <v>YES</v>
      </c>
      <c r="P146" t="str">
        <f t="shared" si="9"/>
        <v>YES</v>
      </c>
    </row>
    <row r="147" spans="1:16" x14ac:dyDescent="0.15">
      <c r="A147" s="5">
        <f t="shared" si="7"/>
        <v>2</v>
      </c>
      <c r="B147" s="6">
        <v>145</v>
      </c>
      <c r="C147" t="s">
        <v>574</v>
      </c>
      <c r="D147" t="s">
        <v>506</v>
      </c>
      <c r="E147" t="s">
        <v>575</v>
      </c>
      <c r="F147" t="s">
        <v>344</v>
      </c>
      <c r="G147" t="s">
        <v>345</v>
      </c>
      <c r="H147" t="s">
        <v>725</v>
      </c>
      <c r="I147" s="5" t="s">
        <v>77</v>
      </c>
      <c r="K147" s="12">
        <v>212213</v>
      </c>
      <c r="L147" s="9" t="s">
        <v>574</v>
      </c>
      <c r="M147" s="9" t="s">
        <v>922</v>
      </c>
      <c r="N147" s="9" t="s">
        <v>575</v>
      </c>
      <c r="O147" t="str">
        <f t="shared" si="8"/>
        <v>YES</v>
      </c>
      <c r="P147" t="str">
        <f t="shared" si="9"/>
        <v>YES</v>
      </c>
    </row>
    <row r="148" spans="1:16" x14ac:dyDescent="0.15">
      <c r="A148" s="5">
        <f t="shared" si="7"/>
        <v>1</v>
      </c>
      <c r="B148" s="6">
        <v>146</v>
      </c>
      <c r="C148" t="s">
        <v>575</v>
      </c>
      <c r="D148" t="s">
        <v>507</v>
      </c>
      <c r="E148" t="s">
        <v>576</v>
      </c>
      <c r="F148" t="s">
        <v>725</v>
      </c>
      <c r="G148" t="s">
        <v>725</v>
      </c>
      <c r="H148" t="s">
        <v>146</v>
      </c>
      <c r="I148" s="5" t="s">
        <v>77</v>
      </c>
      <c r="K148" s="10">
        <v>214</v>
      </c>
      <c r="L148" s="9" t="s">
        <v>575</v>
      </c>
      <c r="M148" s="11" t="s">
        <v>923</v>
      </c>
      <c r="N148" s="9" t="s">
        <v>576</v>
      </c>
      <c r="O148" t="str">
        <f t="shared" si="8"/>
        <v>YES</v>
      </c>
      <c r="P148" t="str">
        <f t="shared" si="9"/>
        <v>YES</v>
      </c>
    </row>
    <row r="149" spans="1:16" x14ac:dyDescent="0.15">
      <c r="A149" s="5">
        <f t="shared" si="7"/>
        <v>2</v>
      </c>
      <c r="B149" s="6">
        <v>147</v>
      </c>
      <c r="C149" t="s">
        <v>577</v>
      </c>
      <c r="D149" t="s">
        <v>506</v>
      </c>
      <c r="E149" t="s">
        <v>578</v>
      </c>
      <c r="F149" t="s">
        <v>346</v>
      </c>
      <c r="G149" t="s">
        <v>347</v>
      </c>
      <c r="H149" t="s">
        <v>725</v>
      </c>
      <c r="I149" s="5" t="s">
        <v>77</v>
      </c>
      <c r="K149" s="12">
        <v>215216</v>
      </c>
      <c r="L149" s="9" t="s">
        <v>577</v>
      </c>
      <c r="M149" s="9" t="s">
        <v>922</v>
      </c>
      <c r="N149" s="9" t="s">
        <v>578</v>
      </c>
      <c r="O149" t="str">
        <f t="shared" si="8"/>
        <v>YES</v>
      </c>
      <c r="P149" t="str">
        <f t="shared" si="9"/>
        <v>YES</v>
      </c>
    </row>
    <row r="150" spans="1:16" x14ac:dyDescent="0.15">
      <c r="A150" s="5">
        <f t="shared" si="7"/>
        <v>1</v>
      </c>
      <c r="B150" s="6">
        <v>148</v>
      </c>
      <c r="C150" t="s">
        <v>578</v>
      </c>
      <c r="D150" t="s">
        <v>507</v>
      </c>
      <c r="E150" t="s">
        <v>579</v>
      </c>
      <c r="F150" t="s">
        <v>725</v>
      </c>
      <c r="G150" t="s">
        <v>725</v>
      </c>
      <c r="H150" t="s">
        <v>147</v>
      </c>
      <c r="I150" s="5" t="s">
        <v>77</v>
      </c>
      <c r="K150" s="10">
        <v>217</v>
      </c>
      <c r="L150" s="9" t="s">
        <v>578</v>
      </c>
      <c r="M150" s="11" t="s">
        <v>923</v>
      </c>
      <c r="N150" s="9" t="s">
        <v>579</v>
      </c>
      <c r="O150" t="str">
        <f t="shared" si="8"/>
        <v>YES</v>
      </c>
      <c r="P150" t="str">
        <f t="shared" si="9"/>
        <v>YES</v>
      </c>
    </row>
    <row r="151" spans="1:16" x14ac:dyDescent="0.15">
      <c r="A151" s="5">
        <f t="shared" si="7"/>
        <v>2</v>
      </c>
      <c r="B151" s="6">
        <v>149</v>
      </c>
      <c r="C151" t="s">
        <v>580</v>
      </c>
      <c r="D151" t="s">
        <v>506</v>
      </c>
      <c r="E151" t="s">
        <v>581</v>
      </c>
      <c r="F151" t="s">
        <v>348</v>
      </c>
      <c r="G151" t="s">
        <v>349</v>
      </c>
      <c r="H151" t="s">
        <v>725</v>
      </c>
      <c r="I151" s="5" t="s">
        <v>78</v>
      </c>
      <c r="K151" s="12">
        <v>218219</v>
      </c>
      <c r="L151" s="9" t="s">
        <v>580</v>
      </c>
      <c r="M151" s="9" t="s">
        <v>922</v>
      </c>
      <c r="N151" s="9" t="s">
        <v>581</v>
      </c>
      <c r="O151" t="str">
        <f t="shared" si="8"/>
        <v>YES</v>
      </c>
      <c r="P151" t="str">
        <f t="shared" si="9"/>
        <v>YES</v>
      </c>
    </row>
    <row r="152" spans="1:16" x14ac:dyDescent="0.15">
      <c r="A152" s="5">
        <f t="shared" si="7"/>
        <v>1</v>
      </c>
      <c r="B152" s="6">
        <v>150</v>
      </c>
      <c r="C152" t="s">
        <v>581</v>
      </c>
      <c r="D152" t="s">
        <v>507</v>
      </c>
      <c r="E152" t="s">
        <v>582</v>
      </c>
      <c r="F152" t="s">
        <v>725</v>
      </c>
      <c r="G152" t="s">
        <v>725</v>
      </c>
      <c r="H152" t="s">
        <v>148</v>
      </c>
      <c r="I152" s="5" t="s">
        <v>78</v>
      </c>
      <c r="K152" s="10">
        <v>220</v>
      </c>
      <c r="L152" s="9" t="s">
        <v>581</v>
      </c>
      <c r="M152" s="11" t="s">
        <v>923</v>
      </c>
      <c r="N152" s="9" t="s">
        <v>582</v>
      </c>
      <c r="O152" t="str">
        <f t="shared" si="8"/>
        <v>YES</v>
      </c>
      <c r="P152" t="str">
        <f t="shared" si="9"/>
        <v>YES</v>
      </c>
    </row>
    <row r="153" spans="1:16" x14ac:dyDescent="0.15">
      <c r="A153" s="5">
        <f t="shared" si="7"/>
        <v>2</v>
      </c>
      <c r="B153" s="6">
        <v>151</v>
      </c>
      <c r="C153" t="s">
        <v>583</v>
      </c>
      <c r="D153" t="s">
        <v>506</v>
      </c>
      <c r="E153" t="s">
        <v>584</v>
      </c>
      <c r="F153" t="s">
        <v>350</v>
      </c>
      <c r="G153" t="s">
        <v>351</v>
      </c>
      <c r="H153" t="s">
        <v>725</v>
      </c>
      <c r="I153" s="5" t="s">
        <v>78</v>
      </c>
      <c r="K153" s="12">
        <v>221222</v>
      </c>
      <c r="L153" s="9" t="s">
        <v>583</v>
      </c>
      <c r="M153" s="9" t="s">
        <v>922</v>
      </c>
      <c r="N153" s="9" t="s">
        <v>584</v>
      </c>
      <c r="O153" t="str">
        <f t="shared" si="8"/>
        <v>YES</v>
      </c>
      <c r="P153" t="str">
        <f t="shared" si="9"/>
        <v>YES</v>
      </c>
    </row>
    <row r="154" spans="1:16" x14ac:dyDescent="0.15">
      <c r="A154" s="5">
        <f t="shared" si="7"/>
        <v>1</v>
      </c>
      <c r="B154" s="6">
        <v>152</v>
      </c>
      <c r="C154" t="s">
        <v>584</v>
      </c>
      <c r="D154" t="s">
        <v>507</v>
      </c>
      <c r="E154" t="s">
        <v>585</v>
      </c>
      <c r="F154" t="s">
        <v>725</v>
      </c>
      <c r="G154" t="s">
        <v>725</v>
      </c>
      <c r="H154" t="s">
        <v>149</v>
      </c>
      <c r="I154" s="5" t="s">
        <v>78</v>
      </c>
      <c r="K154" s="10">
        <v>223</v>
      </c>
      <c r="L154" s="9" t="s">
        <v>584</v>
      </c>
      <c r="M154" s="11" t="s">
        <v>923</v>
      </c>
      <c r="N154" s="9" t="s">
        <v>585</v>
      </c>
      <c r="O154" t="str">
        <f t="shared" si="8"/>
        <v>YES</v>
      </c>
      <c r="P154" t="str">
        <f t="shared" si="9"/>
        <v>YES</v>
      </c>
    </row>
    <row r="155" spans="1:16" x14ac:dyDescent="0.15">
      <c r="A155" s="5">
        <f t="shared" si="7"/>
        <v>2</v>
      </c>
      <c r="B155" s="6">
        <v>153</v>
      </c>
      <c r="C155" t="s">
        <v>586</v>
      </c>
      <c r="D155" t="s">
        <v>506</v>
      </c>
      <c r="E155" t="s">
        <v>587</v>
      </c>
      <c r="F155" t="s">
        <v>352</v>
      </c>
      <c r="G155" t="s">
        <v>353</v>
      </c>
      <c r="H155" t="s">
        <v>725</v>
      </c>
      <c r="I155" s="5" t="s">
        <v>78</v>
      </c>
      <c r="K155" s="12">
        <v>224225</v>
      </c>
      <c r="L155" s="9" t="s">
        <v>586</v>
      </c>
      <c r="M155" s="9" t="s">
        <v>922</v>
      </c>
      <c r="N155" s="9" t="s">
        <v>587</v>
      </c>
      <c r="O155" t="str">
        <f t="shared" si="8"/>
        <v>YES</v>
      </c>
      <c r="P155" t="str">
        <f t="shared" si="9"/>
        <v>YES</v>
      </c>
    </row>
    <row r="156" spans="1:16" x14ac:dyDescent="0.15">
      <c r="A156" s="5">
        <f t="shared" si="7"/>
        <v>1</v>
      </c>
      <c r="B156" s="6">
        <v>154</v>
      </c>
      <c r="C156" t="s">
        <v>587</v>
      </c>
      <c r="D156" t="s">
        <v>507</v>
      </c>
      <c r="E156" t="s">
        <v>588</v>
      </c>
      <c r="F156" t="s">
        <v>725</v>
      </c>
      <c r="G156" t="s">
        <v>725</v>
      </c>
      <c r="H156" t="s">
        <v>150</v>
      </c>
      <c r="I156" s="5" t="s">
        <v>78</v>
      </c>
      <c r="K156" s="10">
        <v>226</v>
      </c>
      <c r="L156" s="9" t="s">
        <v>587</v>
      </c>
      <c r="M156" s="11" t="s">
        <v>923</v>
      </c>
      <c r="N156" s="9" t="s">
        <v>588</v>
      </c>
      <c r="O156" t="str">
        <f t="shared" si="8"/>
        <v>YES</v>
      </c>
      <c r="P156" t="str">
        <f t="shared" si="9"/>
        <v>YES</v>
      </c>
    </row>
    <row r="157" spans="1:16" x14ac:dyDescent="0.15">
      <c r="A157" s="5">
        <f t="shared" si="7"/>
        <v>2</v>
      </c>
      <c r="B157" s="6">
        <v>155</v>
      </c>
      <c r="C157" t="s">
        <v>589</v>
      </c>
      <c r="D157" t="s">
        <v>506</v>
      </c>
      <c r="E157" t="s">
        <v>590</v>
      </c>
      <c r="F157" t="s">
        <v>354</v>
      </c>
      <c r="G157" t="s">
        <v>355</v>
      </c>
      <c r="H157" t="s">
        <v>725</v>
      </c>
      <c r="I157" s="5" t="s">
        <v>78</v>
      </c>
      <c r="K157" s="12">
        <v>227228</v>
      </c>
      <c r="L157" s="9" t="s">
        <v>589</v>
      </c>
      <c r="M157" s="9" t="s">
        <v>922</v>
      </c>
      <c r="N157" s="9" t="s">
        <v>590</v>
      </c>
      <c r="O157" t="str">
        <f t="shared" si="8"/>
        <v>YES</v>
      </c>
      <c r="P157" t="str">
        <f t="shared" si="9"/>
        <v>YES</v>
      </c>
    </row>
    <row r="158" spans="1:16" x14ac:dyDescent="0.15">
      <c r="A158" s="5">
        <f t="shared" si="7"/>
        <v>1</v>
      </c>
      <c r="B158" s="6">
        <v>156</v>
      </c>
      <c r="C158" t="s">
        <v>590</v>
      </c>
      <c r="D158" t="s">
        <v>507</v>
      </c>
      <c r="E158" t="s">
        <v>591</v>
      </c>
      <c r="F158" t="s">
        <v>725</v>
      </c>
      <c r="G158" t="s">
        <v>725</v>
      </c>
      <c r="H158" t="s">
        <v>151</v>
      </c>
      <c r="I158" s="5" t="s">
        <v>78</v>
      </c>
      <c r="K158" s="10">
        <v>229</v>
      </c>
      <c r="L158" s="9" t="s">
        <v>590</v>
      </c>
      <c r="M158" s="11" t="s">
        <v>923</v>
      </c>
      <c r="N158" s="9" t="s">
        <v>591</v>
      </c>
      <c r="O158" t="str">
        <f t="shared" si="8"/>
        <v>YES</v>
      </c>
      <c r="P158" t="str">
        <f t="shared" si="9"/>
        <v>YES</v>
      </c>
    </row>
    <row r="159" spans="1:16" x14ac:dyDescent="0.15">
      <c r="A159" s="5">
        <f t="shared" si="7"/>
        <v>2</v>
      </c>
      <c r="B159" s="6">
        <v>157</v>
      </c>
      <c r="C159" t="s">
        <v>592</v>
      </c>
      <c r="D159" t="s">
        <v>506</v>
      </c>
      <c r="E159" t="s">
        <v>593</v>
      </c>
      <c r="F159" t="s">
        <v>356</v>
      </c>
      <c r="G159" t="s">
        <v>357</v>
      </c>
      <c r="H159" t="s">
        <v>725</v>
      </c>
      <c r="I159" s="5" t="s">
        <v>78</v>
      </c>
      <c r="K159" s="12">
        <v>230231</v>
      </c>
      <c r="L159" s="9" t="s">
        <v>592</v>
      </c>
      <c r="M159" s="9" t="s">
        <v>922</v>
      </c>
      <c r="N159" s="9" t="s">
        <v>593</v>
      </c>
      <c r="O159" t="str">
        <f t="shared" si="8"/>
        <v>YES</v>
      </c>
      <c r="P159" t="str">
        <f t="shared" si="9"/>
        <v>YES</v>
      </c>
    </row>
    <row r="160" spans="1:16" x14ac:dyDescent="0.15">
      <c r="A160" s="5">
        <f t="shared" si="7"/>
        <v>1</v>
      </c>
      <c r="B160" s="6">
        <v>158</v>
      </c>
      <c r="C160" t="s">
        <v>593</v>
      </c>
      <c r="D160" t="s">
        <v>507</v>
      </c>
      <c r="E160" t="s">
        <v>594</v>
      </c>
      <c r="F160" t="s">
        <v>725</v>
      </c>
      <c r="G160" t="s">
        <v>725</v>
      </c>
      <c r="H160" t="s">
        <v>152</v>
      </c>
      <c r="I160" s="5" t="s">
        <v>78</v>
      </c>
      <c r="K160" s="10">
        <v>232</v>
      </c>
      <c r="L160" s="9" t="s">
        <v>593</v>
      </c>
      <c r="M160" s="11" t="s">
        <v>923</v>
      </c>
      <c r="N160" s="9" t="s">
        <v>594</v>
      </c>
      <c r="O160" t="str">
        <f t="shared" si="8"/>
        <v>YES</v>
      </c>
      <c r="P160" t="str">
        <f t="shared" si="9"/>
        <v>YES</v>
      </c>
    </row>
    <row r="161" spans="1:16" x14ac:dyDescent="0.15">
      <c r="A161" s="5">
        <f t="shared" si="7"/>
        <v>2</v>
      </c>
      <c r="B161" s="6">
        <v>159</v>
      </c>
      <c r="C161" t="s">
        <v>595</v>
      </c>
      <c r="D161" t="s">
        <v>506</v>
      </c>
      <c r="E161" t="s">
        <v>596</v>
      </c>
      <c r="F161" t="s">
        <v>358</v>
      </c>
      <c r="G161" t="s">
        <v>359</v>
      </c>
      <c r="H161" t="s">
        <v>725</v>
      </c>
      <c r="I161" s="5">
        <v>16</v>
      </c>
      <c r="K161" s="12">
        <v>233234</v>
      </c>
      <c r="L161" s="9" t="s">
        <v>595</v>
      </c>
      <c r="M161" s="9" t="s">
        <v>922</v>
      </c>
      <c r="N161" s="9" t="s">
        <v>596</v>
      </c>
      <c r="O161" t="str">
        <f t="shared" si="8"/>
        <v>YES</v>
      </c>
      <c r="P161" t="str">
        <f t="shared" si="9"/>
        <v>YES</v>
      </c>
    </row>
    <row r="162" spans="1:16" x14ac:dyDescent="0.15">
      <c r="A162" s="5">
        <f t="shared" si="7"/>
        <v>1</v>
      </c>
      <c r="B162" s="6">
        <v>160</v>
      </c>
      <c r="C162" t="s">
        <v>596</v>
      </c>
      <c r="D162" t="s">
        <v>507</v>
      </c>
      <c r="E162" t="s">
        <v>597</v>
      </c>
      <c r="F162" t="s">
        <v>725</v>
      </c>
      <c r="G162" t="s">
        <v>725</v>
      </c>
      <c r="H162" t="s">
        <v>153</v>
      </c>
      <c r="I162" s="5">
        <v>16</v>
      </c>
      <c r="K162" s="10">
        <v>235</v>
      </c>
      <c r="L162" s="9" t="s">
        <v>596</v>
      </c>
      <c r="M162" s="11" t="s">
        <v>923</v>
      </c>
      <c r="N162" s="9" t="s">
        <v>597</v>
      </c>
      <c r="O162" t="str">
        <f t="shared" si="8"/>
        <v>YES</v>
      </c>
      <c r="P162" t="str">
        <f t="shared" si="9"/>
        <v>YES</v>
      </c>
    </row>
    <row r="163" spans="1:16" x14ac:dyDescent="0.15">
      <c r="A163" s="5">
        <f t="shared" si="7"/>
        <v>2</v>
      </c>
      <c r="B163" s="6">
        <v>161</v>
      </c>
      <c r="C163" t="s">
        <v>598</v>
      </c>
      <c r="D163" t="s">
        <v>506</v>
      </c>
      <c r="E163" t="s">
        <v>599</v>
      </c>
      <c r="F163" t="s">
        <v>360</v>
      </c>
      <c r="G163" t="s">
        <v>361</v>
      </c>
      <c r="H163" t="s">
        <v>725</v>
      </c>
      <c r="I163" s="5" t="s">
        <v>79</v>
      </c>
      <c r="K163" s="12">
        <v>236237</v>
      </c>
      <c r="L163" s="9" t="s">
        <v>598</v>
      </c>
      <c r="M163" s="9" t="s">
        <v>922</v>
      </c>
      <c r="N163" s="9" t="s">
        <v>599</v>
      </c>
      <c r="O163" t="str">
        <f t="shared" si="8"/>
        <v>YES</v>
      </c>
      <c r="P163" t="str">
        <f t="shared" si="9"/>
        <v>YES</v>
      </c>
    </row>
    <row r="164" spans="1:16" x14ac:dyDescent="0.15">
      <c r="A164" s="5">
        <f t="shared" si="7"/>
        <v>2</v>
      </c>
      <c r="B164" s="6">
        <v>162</v>
      </c>
      <c r="C164" t="s">
        <v>600</v>
      </c>
      <c r="D164" t="s">
        <v>506</v>
      </c>
      <c r="E164" t="s">
        <v>601</v>
      </c>
      <c r="F164" t="s">
        <v>362</v>
      </c>
      <c r="G164" t="s">
        <v>363</v>
      </c>
      <c r="H164" t="s">
        <v>725</v>
      </c>
      <c r="I164" s="5" t="s">
        <v>79</v>
      </c>
      <c r="K164" s="12">
        <v>238239</v>
      </c>
      <c r="L164" s="9" t="s">
        <v>600</v>
      </c>
      <c r="M164" s="9" t="s">
        <v>922</v>
      </c>
      <c r="N164" s="9" t="s">
        <v>601</v>
      </c>
      <c r="O164" t="str">
        <f t="shared" ref="O164:O195" si="10">IF(L164=C164,"YES","NO")</f>
        <v>YES</v>
      </c>
      <c r="P164" t="str">
        <f t="shared" si="9"/>
        <v>YES</v>
      </c>
    </row>
    <row r="165" spans="1:16" x14ac:dyDescent="0.15">
      <c r="A165" s="5">
        <f t="shared" si="7"/>
        <v>1</v>
      </c>
      <c r="B165" s="6">
        <v>163</v>
      </c>
      <c r="C165" t="s">
        <v>601</v>
      </c>
      <c r="D165" t="s">
        <v>507</v>
      </c>
      <c r="E165" t="s">
        <v>602</v>
      </c>
      <c r="F165" t="s">
        <v>725</v>
      </c>
      <c r="G165" t="s">
        <v>725</v>
      </c>
      <c r="H165" t="s">
        <v>154</v>
      </c>
      <c r="I165" s="5" t="s">
        <v>79</v>
      </c>
      <c r="K165" s="10">
        <v>240</v>
      </c>
      <c r="L165" s="9" t="s">
        <v>601</v>
      </c>
      <c r="M165" s="11" t="s">
        <v>923</v>
      </c>
      <c r="N165" s="9" t="s">
        <v>602</v>
      </c>
      <c r="O165" t="str">
        <f t="shared" si="10"/>
        <v>YES</v>
      </c>
      <c r="P165" t="str">
        <f t="shared" si="9"/>
        <v>YES</v>
      </c>
    </row>
    <row r="166" spans="1:16" x14ac:dyDescent="0.15">
      <c r="A166" s="5">
        <f t="shared" si="7"/>
        <v>2</v>
      </c>
      <c r="B166" s="6">
        <v>164</v>
      </c>
      <c r="C166" t="s">
        <v>603</v>
      </c>
      <c r="D166" t="s">
        <v>506</v>
      </c>
      <c r="E166" t="s">
        <v>604</v>
      </c>
      <c r="F166" t="s">
        <v>364</v>
      </c>
      <c r="G166" t="s">
        <v>365</v>
      </c>
      <c r="H166" t="s">
        <v>725</v>
      </c>
      <c r="I166" s="5">
        <v>10</v>
      </c>
      <c r="K166" s="12">
        <v>241242</v>
      </c>
      <c r="L166" s="9" t="s">
        <v>603</v>
      </c>
      <c r="M166" s="9" t="s">
        <v>922</v>
      </c>
      <c r="N166" s="9" t="s">
        <v>604</v>
      </c>
      <c r="O166" t="str">
        <f t="shared" si="10"/>
        <v>YES</v>
      </c>
      <c r="P166" t="str">
        <f t="shared" si="9"/>
        <v>YES</v>
      </c>
    </row>
    <row r="167" spans="1:16" x14ac:dyDescent="0.15">
      <c r="A167" s="5">
        <f t="shared" si="7"/>
        <v>1</v>
      </c>
      <c r="B167" s="6">
        <v>165</v>
      </c>
      <c r="C167" t="s">
        <v>39</v>
      </c>
      <c r="D167" t="s">
        <v>507</v>
      </c>
      <c r="E167" t="s">
        <v>40</v>
      </c>
      <c r="F167" t="s">
        <v>725</v>
      </c>
      <c r="G167" t="s">
        <v>725</v>
      </c>
      <c r="H167" t="s">
        <v>155</v>
      </c>
      <c r="I167" s="5">
        <v>10</v>
      </c>
      <c r="K167" s="10">
        <v>243</v>
      </c>
      <c r="L167" s="9" t="s">
        <v>39</v>
      </c>
      <c r="M167" s="11" t="s">
        <v>923</v>
      </c>
      <c r="N167" s="9" t="s">
        <v>40</v>
      </c>
      <c r="O167" t="str">
        <f t="shared" si="10"/>
        <v>YES</v>
      </c>
      <c r="P167" t="str">
        <f t="shared" si="9"/>
        <v>YES</v>
      </c>
    </row>
    <row r="168" spans="1:16" x14ac:dyDescent="0.15">
      <c r="A168" s="5">
        <f t="shared" si="7"/>
        <v>2</v>
      </c>
      <c r="B168" s="6">
        <v>166</v>
      </c>
      <c r="C168" t="s">
        <v>605</v>
      </c>
      <c r="D168" t="s">
        <v>506</v>
      </c>
      <c r="E168" t="s">
        <v>606</v>
      </c>
      <c r="F168" t="s">
        <v>366</v>
      </c>
      <c r="G168" t="s">
        <v>367</v>
      </c>
      <c r="H168" t="s">
        <v>725</v>
      </c>
      <c r="I168" s="8" t="s">
        <v>80</v>
      </c>
      <c r="K168" s="12">
        <v>313314</v>
      </c>
      <c r="L168" s="9" t="s">
        <v>605</v>
      </c>
      <c r="M168" s="9" t="s">
        <v>922</v>
      </c>
      <c r="N168" s="9" t="s">
        <v>606</v>
      </c>
      <c r="O168" t="str">
        <f t="shared" si="10"/>
        <v>YES</v>
      </c>
      <c r="P168" t="str">
        <f t="shared" si="9"/>
        <v>YES</v>
      </c>
    </row>
    <row r="169" spans="1:16" x14ac:dyDescent="0.15">
      <c r="A169" s="5">
        <f t="shared" si="7"/>
        <v>1</v>
      </c>
      <c r="B169" s="6">
        <v>167</v>
      </c>
      <c r="C169" t="s">
        <v>606</v>
      </c>
      <c r="D169" t="s">
        <v>507</v>
      </c>
      <c r="E169" t="s">
        <v>607</v>
      </c>
      <c r="F169" t="s">
        <v>725</v>
      </c>
      <c r="G169" t="s">
        <v>725</v>
      </c>
      <c r="H169" t="s">
        <v>156</v>
      </c>
      <c r="I169" s="8" t="s">
        <v>80</v>
      </c>
      <c r="K169" s="10">
        <v>315</v>
      </c>
      <c r="L169" s="9" t="s">
        <v>606</v>
      </c>
      <c r="M169" s="11" t="s">
        <v>923</v>
      </c>
      <c r="N169" s="9" t="s">
        <v>607</v>
      </c>
      <c r="O169" t="str">
        <f t="shared" si="10"/>
        <v>YES</v>
      </c>
      <c r="P169" t="str">
        <f t="shared" si="9"/>
        <v>YES</v>
      </c>
    </row>
    <row r="170" spans="1:16" x14ac:dyDescent="0.15">
      <c r="A170" s="5">
        <f t="shared" si="7"/>
        <v>2</v>
      </c>
      <c r="B170" s="6">
        <v>168</v>
      </c>
      <c r="C170" t="s">
        <v>608</v>
      </c>
      <c r="D170" t="s">
        <v>506</v>
      </c>
      <c r="E170" t="s">
        <v>609</v>
      </c>
      <c r="F170" t="s">
        <v>368</v>
      </c>
      <c r="G170" t="s">
        <v>369</v>
      </c>
      <c r="H170" t="s">
        <v>725</v>
      </c>
      <c r="I170" s="8" t="s">
        <v>81</v>
      </c>
      <c r="K170" s="12">
        <v>317318</v>
      </c>
      <c r="L170" s="9" t="s">
        <v>608</v>
      </c>
      <c r="M170" s="9" t="s">
        <v>922</v>
      </c>
      <c r="N170" s="9" t="s">
        <v>609</v>
      </c>
      <c r="O170" t="str">
        <f t="shared" si="10"/>
        <v>YES</v>
      </c>
      <c r="P170" t="str">
        <f t="shared" si="9"/>
        <v>YES</v>
      </c>
    </row>
    <row r="171" spans="1:16" x14ac:dyDescent="0.15">
      <c r="A171" s="5">
        <f t="shared" si="7"/>
        <v>2</v>
      </c>
      <c r="B171" s="6">
        <v>169</v>
      </c>
      <c r="C171" t="s">
        <v>610</v>
      </c>
      <c r="D171" t="s">
        <v>506</v>
      </c>
      <c r="E171" t="s">
        <v>611</v>
      </c>
      <c r="F171" t="s">
        <v>370</v>
      </c>
      <c r="G171" t="s">
        <v>371</v>
      </c>
      <c r="H171" t="s">
        <v>725</v>
      </c>
      <c r="I171" s="8" t="s">
        <v>80</v>
      </c>
      <c r="K171" s="12">
        <v>319320</v>
      </c>
      <c r="L171" s="9" t="s">
        <v>610</v>
      </c>
      <c r="M171" s="9" t="s">
        <v>922</v>
      </c>
      <c r="N171" s="9" t="s">
        <v>611</v>
      </c>
      <c r="O171" t="str">
        <f t="shared" si="10"/>
        <v>YES</v>
      </c>
      <c r="P171" t="str">
        <f t="shared" si="9"/>
        <v>YES</v>
      </c>
    </row>
    <row r="172" spans="1:16" x14ac:dyDescent="0.15">
      <c r="A172" s="5">
        <f t="shared" si="7"/>
        <v>1</v>
      </c>
      <c r="B172" s="6">
        <v>170</v>
      </c>
      <c r="C172" t="s">
        <v>611</v>
      </c>
      <c r="D172" t="s">
        <v>507</v>
      </c>
      <c r="E172" t="s">
        <v>612</v>
      </c>
      <c r="F172" t="s">
        <v>725</v>
      </c>
      <c r="G172" t="s">
        <v>725</v>
      </c>
      <c r="H172" t="s">
        <v>157</v>
      </c>
      <c r="I172" s="8" t="s">
        <v>80</v>
      </c>
      <c r="K172" s="10">
        <v>321</v>
      </c>
      <c r="L172" s="9" t="s">
        <v>611</v>
      </c>
      <c r="M172" s="11" t="s">
        <v>923</v>
      </c>
      <c r="N172" s="9" t="s">
        <v>612</v>
      </c>
      <c r="O172" t="str">
        <f t="shared" si="10"/>
        <v>YES</v>
      </c>
      <c r="P172" t="str">
        <f t="shared" si="9"/>
        <v>YES</v>
      </c>
    </row>
    <row r="173" spans="1:16" x14ac:dyDescent="0.15">
      <c r="A173" s="5">
        <f t="shared" si="7"/>
        <v>2</v>
      </c>
      <c r="B173" s="6">
        <v>171</v>
      </c>
      <c r="C173" t="s">
        <v>613</v>
      </c>
      <c r="D173" t="s">
        <v>506</v>
      </c>
      <c r="E173" t="s">
        <v>614</v>
      </c>
      <c r="F173" t="s">
        <v>372</v>
      </c>
      <c r="G173" t="s">
        <v>373</v>
      </c>
      <c r="H173" t="s">
        <v>725</v>
      </c>
      <c r="I173" s="8" t="s">
        <v>81</v>
      </c>
      <c r="K173" s="12">
        <v>322323</v>
      </c>
      <c r="L173" s="9" t="s">
        <v>613</v>
      </c>
      <c r="M173" s="9" t="s">
        <v>922</v>
      </c>
      <c r="N173" s="9" t="s">
        <v>614</v>
      </c>
      <c r="O173" t="str">
        <f t="shared" si="10"/>
        <v>YES</v>
      </c>
      <c r="P173" t="str">
        <f t="shared" si="9"/>
        <v>YES</v>
      </c>
    </row>
    <row r="174" spans="1:16" x14ac:dyDescent="0.15">
      <c r="A174" s="5">
        <f t="shared" si="7"/>
        <v>2</v>
      </c>
      <c r="B174" s="6">
        <v>172</v>
      </c>
      <c r="C174" t="s">
        <v>615</v>
      </c>
      <c r="D174" t="s">
        <v>506</v>
      </c>
      <c r="E174" t="s">
        <v>616</v>
      </c>
      <c r="F174" t="s">
        <v>201</v>
      </c>
      <c r="G174" t="s">
        <v>202</v>
      </c>
      <c r="H174" t="s">
        <v>725</v>
      </c>
      <c r="I174" s="8" t="s">
        <v>80</v>
      </c>
      <c r="K174" s="12">
        <v>324325</v>
      </c>
      <c r="L174" s="9" t="s">
        <v>615</v>
      </c>
      <c r="M174" s="9" t="s">
        <v>922</v>
      </c>
      <c r="N174" s="9" t="s">
        <v>616</v>
      </c>
      <c r="O174" t="str">
        <f t="shared" si="10"/>
        <v>YES</v>
      </c>
      <c r="P174" t="str">
        <f t="shared" si="9"/>
        <v>YES</v>
      </c>
    </row>
    <row r="175" spans="1:16" x14ac:dyDescent="0.15">
      <c r="A175" s="5">
        <f t="shared" si="7"/>
        <v>1</v>
      </c>
      <c r="B175" s="6">
        <v>173</v>
      </c>
      <c r="C175" t="s">
        <v>616</v>
      </c>
      <c r="D175" t="s">
        <v>507</v>
      </c>
      <c r="E175" t="s">
        <v>617</v>
      </c>
      <c r="F175" t="s">
        <v>725</v>
      </c>
      <c r="G175" t="s">
        <v>725</v>
      </c>
      <c r="H175" t="s">
        <v>158</v>
      </c>
      <c r="I175" s="8" t="s">
        <v>80</v>
      </c>
      <c r="K175" s="10">
        <v>326</v>
      </c>
      <c r="L175" s="9" t="s">
        <v>616</v>
      </c>
      <c r="M175" s="11" t="s">
        <v>923</v>
      </c>
      <c r="N175" s="9" t="s">
        <v>617</v>
      </c>
      <c r="O175" t="str">
        <f t="shared" si="10"/>
        <v>YES</v>
      </c>
      <c r="P175" t="str">
        <f t="shared" si="9"/>
        <v>YES</v>
      </c>
    </row>
    <row r="176" spans="1:16" x14ac:dyDescent="0.15">
      <c r="A176" s="5">
        <f t="shared" si="7"/>
        <v>2</v>
      </c>
      <c r="B176" s="6">
        <v>174</v>
      </c>
      <c r="C176" t="s">
        <v>618</v>
      </c>
      <c r="D176" t="s">
        <v>506</v>
      </c>
      <c r="E176" t="s">
        <v>619</v>
      </c>
      <c r="F176" t="s">
        <v>203</v>
      </c>
      <c r="G176" t="s">
        <v>204</v>
      </c>
      <c r="H176" t="s">
        <v>725</v>
      </c>
      <c r="I176" s="8" t="s">
        <v>80</v>
      </c>
      <c r="K176" s="12">
        <v>337338</v>
      </c>
      <c r="L176" s="9" t="s">
        <v>618</v>
      </c>
      <c r="M176" s="9" t="s">
        <v>922</v>
      </c>
      <c r="N176" s="9" t="s">
        <v>619</v>
      </c>
      <c r="O176" t="str">
        <f t="shared" si="10"/>
        <v>YES</v>
      </c>
      <c r="P176" t="str">
        <f t="shared" si="9"/>
        <v>YES</v>
      </c>
    </row>
    <row r="177" spans="1:16" x14ac:dyDescent="0.15">
      <c r="A177" s="5">
        <f t="shared" si="7"/>
        <v>1</v>
      </c>
      <c r="B177" s="6">
        <v>175</v>
      </c>
      <c r="C177" t="s">
        <v>619</v>
      </c>
      <c r="D177" t="s">
        <v>507</v>
      </c>
      <c r="E177" t="s">
        <v>620</v>
      </c>
      <c r="F177" t="s">
        <v>725</v>
      </c>
      <c r="G177" t="s">
        <v>725</v>
      </c>
      <c r="H177" t="s">
        <v>159</v>
      </c>
      <c r="I177" s="8" t="s">
        <v>80</v>
      </c>
      <c r="K177" s="10">
        <v>339</v>
      </c>
      <c r="L177" s="9" t="s">
        <v>619</v>
      </c>
      <c r="M177" s="11" t="s">
        <v>923</v>
      </c>
      <c r="N177" s="9" t="s">
        <v>620</v>
      </c>
      <c r="O177" t="str">
        <f t="shared" si="10"/>
        <v>YES</v>
      </c>
      <c r="P177" t="str">
        <f t="shared" si="9"/>
        <v>YES</v>
      </c>
    </row>
    <row r="178" spans="1:16" x14ac:dyDescent="0.15">
      <c r="A178" s="5">
        <f t="shared" si="7"/>
        <v>2</v>
      </c>
      <c r="B178" s="6">
        <v>176</v>
      </c>
      <c r="C178" t="s">
        <v>621</v>
      </c>
      <c r="D178" t="s">
        <v>506</v>
      </c>
      <c r="E178" t="s">
        <v>622</v>
      </c>
      <c r="F178" t="s">
        <v>205</v>
      </c>
      <c r="G178" t="s">
        <v>206</v>
      </c>
      <c r="H178" t="s">
        <v>725</v>
      </c>
      <c r="I178" s="8" t="s">
        <v>82</v>
      </c>
      <c r="K178" s="12">
        <v>341342</v>
      </c>
      <c r="L178" s="9" t="s">
        <v>621</v>
      </c>
      <c r="M178" s="9" t="s">
        <v>922</v>
      </c>
      <c r="N178" s="9" t="s">
        <v>622</v>
      </c>
      <c r="O178" t="str">
        <f t="shared" si="10"/>
        <v>YES</v>
      </c>
      <c r="P178" t="str">
        <f t="shared" si="9"/>
        <v>YES</v>
      </c>
    </row>
    <row r="179" spans="1:16" x14ac:dyDescent="0.15">
      <c r="A179" s="5">
        <f t="shared" si="7"/>
        <v>2</v>
      </c>
      <c r="B179" s="6">
        <v>177</v>
      </c>
      <c r="C179" t="s">
        <v>623</v>
      </c>
      <c r="D179" t="s">
        <v>506</v>
      </c>
      <c r="E179" t="s">
        <v>624</v>
      </c>
      <c r="F179" t="s">
        <v>207</v>
      </c>
      <c r="G179" t="s">
        <v>208</v>
      </c>
      <c r="H179" t="s">
        <v>725</v>
      </c>
      <c r="I179" s="8" t="s">
        <v>80</v>
      </c>
      <c r="K179" s="12">
        <v>343344</v>
      </c>
      <c r="L179" s="9" t="s">
        <v>623</v>
      </c>
      <c r="M179" s="9" t="s">
        <v>922</v>
      </c>
      <c r="N179" s="9" t="s">
        <v>624</v>
      </c>
      <c r="O179" t="str">
        <f t="shared" si="10"/>
        <v>YES</v>
      </c>
      <c r="P179" t="str">
        <f t="shared" si="9"/>
        <v>YES</v>
      </c>
    </row>
    <row r="180" spans="1:16" x14ac:dyDescent="0.15">
      <c r="A180" s="5">
        <f t="shared" si="7"/>
        <v>1</v>
      </c>
      <c r="B180" s="6">
        <v>178</v>
      </c>
      <c r="C180" t="s">
        <v>624</v>
      </c>
      <c r="D180" t="s">
        <v>507</v>
      </c>
      <c r="E180" t="s">
        <v>625</v>
      </c>
      <c r="F180" t="s">
        <v>725</v>
      </c>
      <c r="G180" t="s">
        <v>725</v>
      </c>
      <c r="H180" t="s">
        <v>160</v>
      </c>
      <c r="I180" s="8" t="s">
        <v>80</v>
      </c>
      <c r="K180" s="10">
        <v>345</v>
      </c>
      <c r="L180" s="9" t="s">
        <v>624</v>
      </c>
      <c r="M180" s="11" t="s">
        <v>923</v>
      </c>
      <c r="N180" s="9" t="s">
        <v>625</v>
      </c>
      <c r="O180" t="str">
        <f t="shared" si="10"/>
        <v>YES</v>
      </c>
      <c r="P180" t="str">
        <f t="shared" si="9"/>
        <v>YES</v>
      </c>
    </row>
    <row r="181" spans="1:16" x14ac:dyDescent="0.15">
      <c r="A181" s="5">
        <f t="shared" si="7"/>
        <v>2</v>
      </c>
      <c r="B181" s="6">
        <v>179</v>
      </c>
      <c r="C181" t="s">
        <v>626</v>
      </c>
      <c r="D181" t="s">
        <v>506</v>
      </c>
      <c r="E181" t="s">
        <v>627</v>
      </c>
      <c r="F181" t="s">
        <v>209</v>
      </c>
      <c r="G181" t="s">
        <v>210</v>
      </c>
      <c r="H181" t="s">
        <v>725</v>
      </c>
      <c r="I181" s="8" t="s">
        <v>82</v>
      </c>
      <c r="K181" s="12">
        <v>346347</v>
      </c>
      <c r="L181" s="9" t="s">
        <v>626</v>
      </c>
      <c r="M181" s="9" t="s">
        <v>922</v>
      </c>
      <c r="N181" s="9" t="s">
        <v>627</v>
      </c>
      <c r="O181" t="str">
        <f t="shared" si="10"/>
        <v>YES</v>
      </c>
      <c r="P181" t="str">
        <f t="shared" si="9"/>
        <v>YES</v>
      </c>
    </row>
    <row r="182" spans="1:16" x14ac:dyDescent="0.15">
      <c r="A182" s="5">
        <f t="shared" si="7"/>
        <v>2</v>
      </c>
      <c r="B182" s="6">
        <v>180</v>
      </c>
      <c r="C182" t="s">
        <v>628</v>
      </c>
      <c r="D182" t="s">
        <v>506</v>
      </c>
      <c r="E182" t="s">
        <v>629</v>
      </c>
      <c r="F182" t="s">
        <v>211</v>
      </c>
      <c r="G182" t="s">
        <v>212</v>
      </c>
      <c r="H182" t="s">
        <v>725</v>
      </c>
      <c r="I182" s="8" t="s">
        <v>80</v>
      </c>
      <c r="K182" s="12">
        <v>348349</v>
      </c>
      <c r="L182" s="9" t="s">
        <v>628</v>
      </c>
      <c r="M182" s="9" t="s">
        <v>922</v>
      </c>
      <c r="N182" s="9" t="s">
        <v>629</v>
      </c>
      <c r="O182" t="str">
        <f t="shared" si="10"/>
        <v>YES</v>
      </c>
      <c r="P182" t="str">
        <f t="shared" si="9"/>
        <v>YES</v>
      </c>
    </row>
    <row r="183" spans="1:16" x14ac:dyDescent="0.15">
      <c r="A183" s="5">
        <f t="shared" si="7"/>
        <v>1</v>
      </c>
      <c r="B183" s="6">
        <v>181</v>
      </c>
      <c r="C183" t="s">
        <v>629</v>
      </c>
      <c r="D183" t="s">
        <v>507</v>
      </c>
      <c r="E183" t="s">
        <v>630</v>
      </c>
      <c r="F183" t="s">
        <v>725</v>
      </c>
      <c r="G183" t="s">
        <v>725</v>
      </c>
      <c r="H183" t="s">
        <v>161</v>
      </c>
      <c r="I183" s="8" t="s">
        <v>80</v>
      </c>
      <c r="K183" s="10">
        <v>350</v>
      </c>
      <c r="L183" s="9" t="s">
        <v>629</v>
      </c>
      <c r="M183" s="11" t="s">
        <v>923</v>
      </c>
      <c r="N183" s="9" t="s">
        <v>630</v>
      </c>
      <c r="O183" t="str">
        <f t="shared" si="10"/>
        <v>YES</v>
      </c>
      <c r="P183" t="str">
        <f t="shared" si="9"/>
        <v>YES</v>
      </c>
    </row>
    <row r="184" spans="1:16" x14ac:dyDescent="0.15">
      <c r="A184" s="5">
        <f t="shared" si="7"/>
        <v>2</v>
      </c>
      <c r="B184" s="6">
        <v>182</v>
      </c>
      <c r="C184" t="s">
        <v>631</v>
      </c>
      <c r="D184" t="s">
        <v>506</v>
      </c>
      <c r="E184" t="s">
        <v>632</v>
      </c>
      <c r="F184" t="s">
        <v>213</v>
      </c>
      <c r="G184" t="s">
        <v>214</v>
      </c>
      <c r="H184" t="s">
        <v>725</v>
      </c>
      <c r="I184" s="8" t="s">
        <v>82</v>
      </c>
      <c r="K184" s="12">
        <v>351352</v>
      </c>
      <c r="L184" s="9" t="s">
        <v>631</v>
      </c>
      <c r="M184" s="9" t="s">
        <v>922</v>
      </c>
      <c r="N184" s="9" t="s">
        <v>632</v>
      </c>
      <c r="O184" t="str">
        <f t="shared" si="10"/>
        <v>YES</v>
      </c>
      <c r="P184" t="str">
        <f t="shared" si="9"/>
        <v>YES</v>
      </c>
    </row>
    <row r="185" spans="1:16" x14ac:dyDescent="0.15">
      <c r="A185" s="5">
        <f t="shared" si="7"/>
        <v>2</v>
      </c>
      <c r="B185" s="6">
        <v>183</v>
      </c>
      <c r="C185" t="s">
        <v>633</v>
      </c>
      <c r="D185" t="s">
        <v>506</v>
      </c>
      <c r="E185" t="s">
        <v>634</v>
      </c>
      <c r="F185" t="s">
        <v>215</v>
      </c>
      <c r="G185" t="s">
        <v>216</v>
      </c>
      <c r="H185" t="s">
        <v>725</v>
      </c>
      <c r="I185" s="8" t="s">
        <v>80</v>
      </c>
      <c r="K185" s="12">
        <v>353354</v>
      </c>
      <c r="L185" s="9" t="s">
        <v>633</v>
      </c>
      <c r="M185" s="9" t="s">
        <v>922</v>
      </c>
      <c r="N185" s="9" t="s">
        <v>634</v>
      </c>
      <c r="O185" t="str">
        <f t="shared" si="10"/>
        <v>YES</v>
      </c>
      <c r="P185" t="str">
        <f t="shared" si="9"/>
        <v>YES</v>
      </c>
    </row>
    <row r="186" spans="1:16" x14ac:dyDescent="0.15">
      <c r="A186" s="5">
        <f t="shared" si="7"/>
        <v>1</v>
      </c>
      <c r="B186" s="6">
        <v>184</v>
      </c>
      <c r="C186" t="s">
        <v>634</v>
      </c>
      <c r="D186" t="s">
        <v>507</v>
      </c>
      <c r="E186" t="s">
        <v>635</v>
      </c>
      <c r="F186" t="s">
        <v>725</v>
      </c>
      <c r="G186" t="s">
        <v>725</v>
      </c>
      <c r="H186" t="s">
        <v>162</v>
      </c>
      <c r="I186" s="8" t="s">
        <v>80</v>
      </c>
      <c r="K186" s="10">
        <v>355</v>
      </c>
      <c r="L186" s="9" t="s">
        <v>634</v>
      </c>
      <c r="M186" s="11" t="s">
        <v>923</v>
      </c>
      <c r="N186" s="9" t="s">
        <v>635</v>
      </c>
      <c r="O186" t="str">
        <f t="shared" si="10"/>
        <v>YES</v>
      </c>
      <c r="P186" t="str">
        <f t="shared" si="9"/>
        <v>YES</v>
      </c>
    </row>
    <row r="187" spans="1:16" x14ac:dyDescent="0.15">
      <c r="A187" s="5">
        <f t="shared" si="7"/>
        <v>2</v>
      </c>
      <c r="B187" s="6">
        <v>185</v>
      </c>
      <c r="C187" t="s">
        <v>636</v>
      </c>
      <c r="D187" t="s">
        <v>506</v>
      </c>
      <c r="E187" t="s">
        <v>462</v>
      </c>
      <c r="F187" t="s">
        <v>217</v>
      </c>
      <c r="G187" t="s">
        <v>218</v>
      </c>
      <c r="H187" t="s">
        <v>725</v>
      </c>
      <c r="I187" s="8" t="s">
        <v>82</v>
      </c>
      <c r="K187" s="12">
        <v>356357</v>
      </c>
      <c r="L187" s="9" t="s">
        <v>636</v>
      </c>
      <c r="M187" s="9" t="s">
        <v>922</v>
      </c>
      <c r="N187" s="9" t="s">
        <v>462</v>
      </c>
      <c r="O187" t="str">
        <f t="shared" si="10"/>
        <v>YES</v>
      </c>
      <c r="P187" t="str">
        <f t="shared" si="9"/>
        <v>YES</v>
      </c>
    </row>
    <row r="188" spans="1:16" x14ac:dyDescent="0.15">
      <c r="A188" s="5">
        <f t="shared" si="7"/>
        <v>2</v>
      </c>
      <c r="B188" s="6">
        <v>186</v>
      </c>
      <c r="C188" t="s">
        <v>463</v>
      </c>
      <c r="D188" t="s">
        <v>506</v>
      </c>
      <c r="E188" t="s">
        <v>464</v>
      </c>
      <c r="F188" t="s">
        <v>219</v>
      </c>
      <c r="G188" t="s">
        <v>220</v>
      </c>
      <c r="H188" t="s">
        <v>725</v>
      </c>
      <c r="I188" s="8" t="s">
        <v>80</v>
      </c>
      <c r="K188" s="12">
        <v>358359</v>
      </c>
      <c r="L188" s="9" t="s">
        <v>463</v>
      </c>
      <c r="M188" s="9" t="s">
        <v>922</v>
      </c>
      <c r="N188" s="9" t="s">
        <v>464</v>
      </c>
      <c r="O188" t="str">
        <f t="shared" si="10"/>
        <v>YES</v>
      </c>
      <c r="P188" t="str">
        <f t="shared" si="9"/>
        <v>YES</v>
      </c>
    </row>
    <row r="189" spans="1:16" x14ac:dyDescent="0.15">
      <c r="A189" s="5">
        <f t="shared" si="7"/>
        <v>1</v>
      </c>
      <c r="B189" s="6">
        <v>187</v>
      </c>
      <c r="C189" t="s">
        <v>464</v>
      </c>
      <c r="D189" t="s">
        <v>507</v>
      </c>
      <c r="E189" t="s">
        <v>465</v>
      </c>
      <c r="F189" t="s">
        <v>725</v>
      </c>
      <c r="G189" t="s">
        <v>725</v>
      </c>
      <c r="H189" t="s">
        <v>163</v>
      </c>
      <c r="I189" s="8" t="s">
        <v>80</v>
      </c>
      <c r="K189" s="10">
        <v>360</v>
      </c>
      <c r="L189" s="9" t="s">
        <v>464</v>
      </c>
      <c r="M189" s="11" t="s">
        <v>923</v>
      </c>
      <c r="N189" s="9" t="s">
        <v>465</v>
      </c>
      <c r="O189" t="str">
        <f t="shared" si="10"/>
        <v>YES</v>
      </c>
      <c r="P189" t="str">
        <f t="shared" si="9"/>
        <v>YES</v>
      </c>
    </row>
    <row r="190" spans="1:16" x14ac:dyDescent="0.15">
      <c r="A190" s="5">
        <f t="shared" si="7"/>
        <v>2</v>
      </c>
      <c r="B190" s="6">
        <v>188</v>
      </c>
      <c r="C190" t="s">
        <v>466</v>
      </c>
      <c r="D190" t="s">
        <v>506</v>
      </c>
      <c r="E190" t="s">
        <v>467</v>
      </c>
      <c r="F190" t="s">
        <v>221</v>
      </c>
      <c r="G190" t="s">
        <v>222</v>
      </c>
      <c r="H190" t="s">
        <v>725</v>
      </c>
      <c r="I190" s="8" t="s">
        <v>82</v>
      </c>
      <c r="K190" s="12">
        <v>361362</v>
      </c>
      <c r="L190" s="9" t="s">
        <v>466</v>
      </c>
      <c r="M190" s="9" t="s">
        <v>922</v>
      </c>
      <c r="N190" s="9" t="s">
        <v>467</v>
      </c>
      <c r="O190" t="str">
        <f t="shared" si="10"/>
        <v>YES</v>
      </c>
      <c r="P190" t="str">
        <f t="shared" si="9"/>
        <v>YES</v>
      </c>
    </row>
    <row r="191" spans="1:16" x14ac:dyDescent="0.15">
      <c r="A191" s="5">
        <f t="shared" si="7"/>
        <v>2</v>
      </c>
      <c r="B191" s="6">
        <v>189</v>
      </c>
      <c r="C191" t="s">
        <v>468</v>
      </c>
      <c r="D191" t="s">
        <v>506</v>
      </c>
      <c r="E191" t="s">
        <v>469</v>
      </c>
      <c r="F191" t="s">
        <v>223</v>
      </c>
      <c r="G191" t="s">
        <v>224</v>
      </c>
      <c r="H191" t="s">
        <v>725</v>
      </c>
      <c r="I191" s="8" t="s">
        <v>80</v>
      </c>
      <c r="K191" s="12">
        <v>363364</v>
      </c>
      <c r="L191" s="9" t="s">
        <v>468</v>
      </c>
      <c r="M191" s="9" t="s">
        <v>922</v>
      </c>
      <c r="N191" s="9" t="s">
        <v>469</v>
      </c>
      <c r="O191" t="str">
        <f t="shared" si="10"/>
        <v>YES</v>
      </c>
      <c r="P191" t="str">
        <f t="shared" si="9"/>
        <v>YES</v>
      </c>
    </row>
    <row r="192" spans="1:16" x14ac:dyDescent="0.15">
      <c r="A192" s="5">
        <f t="shared" si="7"/>
        <v>1</v>
      </c>
      <c r="B192" s="6">
        <v>190</v>
      </c>
      <c r="C192" t="s">
        <v>469</v>
      </c>
      <c r="D192" t="s">
        <v>507</v>
      </c>
      <c r="E192" t="s">
        <v>470</v>
      </c>
      <c r="F192" t="s">
        <v>725</v>
      </c>
      <c r="G192" t="s">
        <v>725</v>
      </c>
      <c r="H192" t="s">
        <v>164</v>
      </c>
      <c r="I192" s="8" t="s">
        <v>80</v>
      </c>
      <c r="K192" s="10">
        <v>365</v>
      </c>
      <c r="L192" s="9" t="s">
        <v>469</v>
      </c>
      <c r="M192" s="11" t="s">
        <v>923</v>
      </c>
      <c r="N192" s="9" t="s">
        <v>470</v>
      </c>
      <c r="O192" t="str">
        <f t="shared" si="10"/>
        <v>YES</v>
      </c>
      <c r="P192" t="str">
        <f t="shared" si="9"/>
        <v>YES</v>
      </c>
    </row>
    <row r="193" spans="1:16" x14ac:dyDescent="0.15">
      <c r="A193" s="5">
        <f t="shared" si="7"/>
        <v>2</v>
      </c>
      <c r="B193" s="6">
        <v>191</v>
      </c>
      <c r="C193" t="s">
        <v>471</v>
      </c>
      <c r="D193" t="s">
        <v>506</v>
      </c>
      <c r="E193" t="s">
        <v>472</v>
      </c>
      <c r="F193" t="s">
        <v>225</v>
      </c>
      <c r="G193" t="s">
        <v>226</v>
      </c>
      <c r="H193" t="s">
        <v>725</v>
      </c>
      <c r="I193" s="8" t="s">
        <v>82</v>
      </c>
      <c r="K193" s="12">
        <v>366367</v>
      </c>
      <c r="L193" s="9" t="s">
        <v>471</v>
      </c>
      <c r="M193" s="9" t="s">
        <v>922</v>
      </c>
      <c r="N193" s="9" t="s">
        <v>472</v>
      </c>
      <c r="O193" t="str">
        <f t="shared" si="10"/>
        <v>YES</v>
      </c>
      <c r="P193" t="str">
        <f t="shared" si="9"/>
        <v>YES</v>
      </c>
    </row>
    <row r="194" spans="1:16" x14ac:dyDescent="0.15">
      <c r="A194" s="5">
        <f t="shared" si="7"/>
        <v>2</v>
      </c>
      <c r="B194" s="6">
        <v>192</v>
      </c>
      <c r="C194" t="s">
        <v>473</v>
      </c>
      <c r="D194" t="s">
        <v>506</v>
      </c>
      <c r="E194" t="s">
        <v>474</v>
      </c>
      <c r="F194" t="s">
        <v>227</v>
      </c>
      <c r="G194" t="s">
        <v>228</v>
      </c>
      <c r="H194" t="s">
        <v>725</v>
      </c>
      <c r="I194" s="8" t="s">
        <v>80</v>
      </c>
      <c r="K194" s="12">
        <v>368369</v>
      </c>
      <c r="L194" s="9" t="s">
        <v>473</v>
      </c>
      <c r="M194" s="9" t="s">
        <v>922</v>
      </c>
      <c r="N194" s="9" t="s">
        <v>474</v>
      </c>
      <c r="O194" t="str">
        <f t="shared" si="10"/>
        <v>YES</v>
      </c>
      <c r="P194" t="str">
        <f t="shared" si="9"/>
        <v>YES</v>
      </c>
    </row>
    <row r="195" spans="1:16" x14ac:dyDescent="0.15">
      <c r="A195" s="5">
        <f t="shared" ref="A195:A242" si="11">IF(D195="→",1,2)</f>
        <v>1</v>
      </c>
      <c r="B195" s="6">
        <v>193</v>
      </c>
      <c r="C195" t="s">
        <v>474</v>
      </c>
      <c r="D195" t="s">
        <v>507</v>
      </c>
      <c r="E195" t="s">
        <v>475</v>
      </c>
      <c r="F195" t="s">
        <v>725</v>
      </c>
      <c r="G195" t="s">
        <v>725</v>
      </c>
      <c r="H195" t="s">
        <v>165</v>
      </c>
      <c r="I195" s="8" t="s">
        <v>80</v>
      </c>
      <c r="K195" s="10">
        <v>370</v>
      </c>
      <c r="L195" s="9" t="s">
        <v>474</v>
      </c>
      <c r="M195" s="11" t="s">
        <v>923</v>
      </c>
      <c r="N195" s="9" t="s">
        <v>475</v>
      </c>
      <c r="O195" t="str">
        <f t="shared" si="10"/>
        <v>YES</v>
      </c>
      <c r="P195" t="str">
        <f t="shared" si="9"/>
        <v>YES</v>
      </c>
    </row>
    <row r="196" spans="1:16" x14ac:dyDescent="0.15">
      <c r="A196" s="5">
        <f t="shared" si="11"/>
        <v>2</v>
      </c>
      <c r="B196" s="6">
        <v>194</v>
      </c>
      <c r="C196" t="s">
        <v>115</v>
      </c>
      <c r="D196" t="s">
        <v>506</v>
      </c>
      <c r="E196" t="s">
        <v>0</v>
      </c>
      <c r="F196" t="s">
        <v>229</v>
      </c>
      <c r="G196" t="s">
        <v>230</v>
      </c>
      <c r="H196" t="s">
        <v>725</v>
      </c>
      <c r="I196" s="8" t="s">
        <v>80</v>
      </c>
      <c r="K196" s="12">
        <v>261262</v>
      </c>
      <c r="L196" s="9" t="s">
        <v>115</v>
      </c>
      <c r="M196" s="9" t="s">
        <v>922</v>
      </c>
      <c r="N196" s="9" t="s">
        <v>0</v>
      </c>
      <c r="O196" t="str">
        <f t="shared" ref="O196:O227" si="12">IF(L196=C196,"YES","NO")</f>
        <v>YES</v>
      </c>
      <c r="P196" t="str">
        <f t="shared" ref="P196:P242" si="13">IF(N196=E196,"YES","NO")</f>
        <v>YES</v>
      </c>
    </row>
    <row r="197" spans="1:16" x14ac:dyDescent="0.15">
      <c r="A197" s="5">
        <f t="shared" si="11"/>
        <v>1</v>
      </c>
      <c r="B197" s="6">
        <v>195</v>
      </c>
      <c r="C197" t="s">
        <v>0</v>
      </c>
      <c r="D197" t="s">
        <v>507</v>
      </c>
      <c r="E197" t="s">
        <v>1</v>
      </c>
      <c r="F197" t="s">
        <v>725</v>
      </c>
      <c r="G197" t="s">
        <v>725</v>
      </c>
      <c r="H197" t="s">
        <v>166</v>
      </c>
      <c r="I197" s="8" t="s">
        <v>80</v>
      </c>
      <c r="K197" s="10">
        <v>263</v>
      </c>
      <c r="L197" s="9" t="s">
        <v>0</v>
      </c>
      <c r="M197" s="11" t="s">
        <v>923</v>
      </c>
      <c r="N197" s="9" t="s">
        <v>1</v>
      </c>
      <c r="O197" t="str">
        <f t="shared" si="12"/>
        <v>YES</v>
      </c>
      <c r="P197" t="str">
        <f t="shared" si="13"/>
        <v>YES</v>
      </c>
    </row>
    <row r="198" spans="1:16" x14ac:dyDescent="0.15">
      <c r="A198" s="5">
        <f t="shared" si="11"/>
        <v>2</v>
      </c>
      <c r="B198" s="6">
        <v>196</v>
      </c>
      <c r="C198" t="s">
        <v>41</v>
      </c>
      <c r="D198" t="s">
        <v>506</v>
      </c>
      <c r="E198" t="s">
        <v>42</v>
      </c>
      <c r="F198" t="s">
        <v>231</v>
      </c>
      <c r="G198" t="s">
        <v>232</v>
      </c>
      <c r="H198" t="s">
        <v>725</v>
      </c>
      <c r="I198" s="8" t="s">
        <v>80</v>
      </c>
      <c r="K198" s="12">
        <v>287288</v>
      </c>
      <c r="L198" s="9" t="s">
        <v>41</v>
      </c>
      <c r="M198" s="9" t="s">
        <v>922</v>
      </c>
      <c r="N198" s="9" t="s">
        <v>42</v>
      </c>
      <c r="O198" t="str">
        <f t="shared" si="12"/>
        <v>YES</v>
      </c>
      <c r="P198" t="str">
        <f t="shared" si="13"/>
        <v>YES</v>
      </c>
    </row>
    <row r="199" spans="1:16" x14ac:dyDescent="0.15">
      <c r="A199" s="5">
        <f t="shared" si="11"/>
        <v>1</v>
      </c>
      <c r="B199" s="6">
        <v>197</v>
      </c>
      <c r="C199" t="s">
        <v>42</v>
      </c>
      <c r="D199" t="s">
        <v>507</v>
      </c>
      <c r="E199" t="s">
        <v>43</v>
      </c>
      <c r="F199" t="s">
        <v>725</v>
      </c>
      <c r="G199" t="s">
        <v>725</v>
      </c>
      <c r="H199" t="s">
        <v>167</v>
      </c>
      <c r="I199" s="8" t="s">
        <v>80</v>
      </c>
      <c r="K199" s="10">
        <v>289</v>
      </c>
      <c r="L199" s="9" t="s">
        <v>42</v>
      </c>
      <c r="M199" s="11" t="s">
        <v>923</v>
      </c>
      <c r="N199" s="9" t="s">
        <v>43</v>
      </c>
      <c r="O199" t="str">
        <f t="shared" si="12"/>
        <v>YES</v>
      </c>
      <c r="P199" t="str">
        <f t="shared" si="13"/>
        <v>YES</v>
      </c>
    </row>
    <row r="200" spans="1:16" x14ac:dyDescent="0.15">
      <c r="A200" s="5">
        <f t="shared" si="11"/>
        <v>2</v>
      </c>
      <c r="B200" s="6">
        <v>198</v>
      </c>
      <c r="C200" t="s">
        <v>476</v>
      </c>
      <c r="D200" t="s">
        <v>506</v>
      </c>
      <c r="E200" t="s">
        <v>477</v>
      </c>
      <c r="F200" t="s">
        <v>233</v>
      </c>
      <c r="G200" t="s">
        <v>234</v>
      </c>
      <c r="H200" t="s">
        <v>725</v>
      </c>
      <c r="I200" s="8" t="s">
        <v>80</v>
      </c>
      <c r="K200" s="12">
        <v>327328</v>
      </c>
      <c r="L200" s="9" t="s">
        <v>476</v>
      </c>
      <c r="M200" s="9" t="s">
        <v>922</v>
      </c>
      <c r="N200" s="9" t="s">
        <v>477</v>
      </c>
      <c r="O200" t="str">
        <f t="shared" si="12"/>
        <v>YES</v>
      </c>
      <c r="P200" t="str">
        <f t="shared" si="13"/>
        <v>YES</v>
      </c>
    </row>
    <row r="201" spans="1:16" x14ac:dyDescent="0.15">
      <c r="A201" s="5">
        <f t="shared" si="11"/>
        <v>2</v>
      </c>
      <c r="B201" s="6">
        <v>199</v>
      </c>
      <c r="C201" t="s">
        <v>478</v>
      </c>
      <c r="D201" t="s">
        <v>506</v>
      </c>
      <c r="E201" t="s">
        <v>479</v>
      </c>
      <c r="F201" t="s">
        <v>235</v>
      </c>
      <c r="G201" t="s">
        <v>236</v>
      </c>
      <c r="H201" t="s">
        <v>725</v>
      </c>
      <c r="I201" s="8" t="s">
        <v>80</v>
      </c>
      <c r="K201" s="12">
        <v>329330</v>
      </c>
      <c r="L201" s="9" t="s">
        <v>478</v>
      </c>
      <c r="M201" s="9" t="s">
        <v>922</v>
      </c>
      <c r="N201" s="9" t="s">
        <v>479</v>
      </c>
      <c r="O201" t="str">
        <f t="shared" si="12"/>
        <v>YES</v>
      </c>
      <c r="P201" t="str">
        <f t="shared" si="13"/>
        <v>YES</v>
      </c>
    </row>
    <row r="202" spans="1:16" x14ac:dyDescent="0.15">
      <c r="A202" s="5">
        <f t="shared" si="11"/>
        <v>2</v>
      </c>
      <c r="B202" s="6">
        <v>200</v>
      </c>
      <c r="C202" t="s">
        <v>480</v>
      </c>
      <c r="D202" t="s">
        <v>506</v>
      </c>
      <c r="E202" t="s">
        <v>481</v>
      </c>
      <c r="F202" t="s">
        <v>237</v>
      </c>
      <c r="G202" t="s">
        <v>238</v>
      </c>
      <c r="H202" t="s">
        <v>725</v>
      </c>
      <c r="I202" s="8" t="s">
        <v>80</v>
      </c>
      <c r="K202" s="12">
        <v>331332</v>
      </c>
      <c r="L202" s="9" t="s">
        <v>480</v>
      </c>
      <c r="M202" s="9" t="s">
        <v>922</v>
      </c>
      <c r="N202" s="9" t="s">
        <v>481</v>
      </c>
      <c r="O202" t="str">
        <f t="shared" si="12"/>
        <v>YES</v>
      </c>
      <c r="P202" t="str">
        <f t="shared" si="13"/>
        <v>YES</v>
      </c>
    </row>
    <row r="203" spans="1:16" x14ac:dyDescent="0.15">
      <c r="A203" s="5">
        <f t="shared" si="11"/>
        <v>1</v>
      </c>
      <c r="B203" s="6">
        <v>201</v>
      </c>
      <c r="C203" t="s">
        <v>481</v>
      </c>
      <c r="D203" t="s">
        <v>507</v>
      </c>
      <c r="E203" t="s">
        <v>482</v>
      </c>
      <c r="F203" t="s">
        <v>725</v>
      </c>
      <c r="G203" t="s">
        <v>725</v>
      </c>
      <c r="H203" t="s">
        <v>168</v>
      </c>
      <c r="I203" s="8" t="s">
        <v>80</v>
      </c>
      <c r="K203" s="10">
        <v>333</v>
      </c>
      <c r="L203" s="9" t="s">
        <v>481</v>
      </c>
      <c r="M203" s="11" t="s">
        <v>923</v>
      </c>
      <c r="N203" s="9" t="s">
        <v>482</v>
      </c>
      <c r="O203" t="str">
        <f t="shared" si="12"/>
        <v>YES</v>
      </c>
      <c r="P203" t="str">
        <f t="shared" si="13"/>
        <v>YES</v>
      </c>
    </row>
    <row r="204" spans="1:16" x14ac:dyDescent="0.15">
      <c r="A204" s="5">
        <f t="shared" si="11"/>
        <v>1</v>
      </c>
      <c r="B204" s="6">
        <v>202</v>
      </c>
      <c r="C204" t="s">
        <v>483</v>
      </c>
      <c r="D204" t="s">
        <v>507</v>
      </c>
      <c r="E204" t="s">
        <v>484</v>
      </c>
      <c r="F204" t="s">
        <v>725</v>
      </c>
      <c r="G204" t="s">
        <v>725</v>
      </c>
      <c r="H204" t="s">
        <v>169</v>
      </c>
      <c r="I204" s="8" t="s">
        <v>80</v>
      </c>
      <c r="K204" s="10">
        <v>334</v>
      </c>
      <c r="L204" s="9" t="s">
        <v>483</v>
      </c>
      <c r="M204" s="11" t="s">
        <v>923</v>
      </c>
      <c r="N204" s="9" t="s">
        <v>484</v>
      </c>
      <c r="O204" t="str">
        <f t="shared" si="12"/>
        <v>YES</v>
      </c>
      <c r="P204" t="str">
        <f t="shared" si="13"/>
        <v>YES</v>
      </c>
    </row>
    <row r="205" spans="1:16" x14ac:dyDescent="0.15">
      <c r="A205" s="5">
        <f t="shared" si="11"/>
        <v>1</v>
      </c>
      <c r="B205" s="6">
        <v>203</v>
      </c>
      <c r="C205" t="s">
        <v>484</v>
      </c>
      <c r="D205" t="s">
        <v>507</v>
      </c>
      <c r="E205" t="s">
        <v>485</v>
      </c>
      <c r="F205" t="s">
        <v>725</v>
      </c>
      <c r="G205" t="s">
        <v>725</v>
      </c>
      <c r="H205" t="s">
        <v>170</v>
      </c>
      <c r="I205" s="8" t="s">
        <v>80</v>
      </c>
      <c r="K205" s="10">
        <v>335</v>
      </c>
      <c r="L205" s="9" t="s">
        <v>484</v>
      </c>
      <c r="M205" s="11" t="s">
        <v>923</v>
      </c>
      <c r="N205" s="9" t="s">
        <v>485</v>
      </c>
      <c r="O205" t="str">
        <f t="shared" si="12"/>
        <v>YES</v>
      </c>
      <c r="P205" t="str">
        <f t="shared" si="13"/>
        <v>YES</v>
      </c>
    </row>
    <row r="206" spans="1:16" x14ac:dyDescent="0.15">
      <c r="A206" s="5">
        <f t="shared" si="11"/>
        <v>2</v>
      </c>
      <c r="B206" s="6">
        <v>204</v>
      </c>
      <c r="C206" t="s">
        <v>486</v>
      </c>
      <c r="D206" t="s">
        <v>506</v>
      </c>
      <c r="E206" t="s">
        <v>487</v>
      </c>
      <c r="F206" t="s">
        <v>239</v>
      </c>
      <c r="G206" t="s">
        <v>240</v>
      </c>
      <c r="H206" t="s">
        <v>725</v>
      </c>
      <c r="I206" s="8" t="s">
        <v>80</v>
      </c>
      <c r="K206" s="12">
        <v>371372</v>
      </c>
      <c r="L206" s="9" t="s">
        <v>486</v>
      </c>
      <c r="M206" s="9" t="s">
        <v>922</v>
      </c>
      <c r="N206" s="9" t="s">
        <v>487</v>
      </c>
      <c r="O206" t="str">
        <f t="shared" si="12"/>
        <v>YES</v>
      </c>
      <c r="P206" t="str">
        <f t="shared" si="13"/>
        <v>YES</v>
      </c>
    </row>
    <row r="207" spans="1:16" x14ac:dyDescent="0.15">
      <c r="A207" s="5">
        <f t="shared" si="11"/>
        <v>2</v>
      </c>
      <c r="B207" s="6">
        <v>205</v>
      </c>
      <c r="C207" t="s">
        <v>488</v>
      </c>
      <c r="D207" t="s">
        <v>506</v>
      </c>
      <c r="E207" t="s">
        <v>489</v>
      </c>
      <c r="F207" t="s">
        <v>241</v>
      </c>
      <c r="G207" t="s">
        <v>242</v>
      </c>
      <c r="H207" t="s">
        <v>725</v>
      </c>
      <c r="I207" s="8" t="s">
        <v>80</v>
      </c>
      <c r="K207" s="12">
        <v>373374</v>
      </c>
      <c r="L207" s="9" t="s">
        <v>488</v>
      </c>
      <c r="M207" s="9" t="s">
        <v>922</v>
      </c>
      <c r="N207" s="9" t="s">
        <v>489</v>
      </c>
      <c r="O207" t="str">
        <f t="shared" si="12"/>
        <v>YES</v>
      </c>
      <c r="P207" t="str">
        <f t="shared" si="13"/>
        <v>YES</v>
      </c>
    </row>
    <row r="208" spans="1:16" x14ac:dyDescent="0.15">
      <c r="A208" s="5">
        <f t="shared" si="11"/>
        <v>2</v>
      </c>
      <c r="B208" s="6">
        <v>206</v>
      </c>
      <c r="C208" t="s">
        <v>490</v>
      </c>
      <c r="D208" t="s">
        <v>506</v>
      </c>
      <c r="E208" t="s">
        <v>491</v>
      </c>
      <c r="F208" t="s">
        <v>243</v>
      </c>
      <c r="G208" t="s">
        <v>244</v>
      </c>
      <c r="H208" t="s">
        <v>725</v>
      </c>
      <c r="I208" s="8" t="s">
        <v>80</v>
      </c>
      <c r="K208" s="12">
        <v>375376</v>
      </c>
      <c r="L208" s="9" t="s">
        <v>490</v>
      </c>
      <c r="M208" s="9" t="s">
        <v>922</v>
      </c>
      <c r="N208" s="9" t="s">
        <v>491</v>
      </c>
      <c r="O208" t="str">
        <f t="shared" si="12"/>
        <v>YES</v>
      </c>
      <c r="P208" t="str">
        <f t="shared" si="13"/>
        <v>YES</v>
      </c>
    </row>
    <row r="209" spans="1:16" x14ac:dyDescent="0.15">
      <c r="A209" s="5">
        <f t="shared" si="11"/>
        <v>1</v>
      </c>
      <c r="B209" s="6">
        <v>207</v>
      </c>
      <c r="C209" t="s">
        <v>491</v>
      </c>
      <c r="D209" t="s">
        <v>507</v>
      </c>
      <c r="E209" t="s">
        <v>492</v>
      </c>
      <c r="F209" t="s">
        <v>725</v>
      </c>
      <c r="G209" t="s">
        <v>725</v>
      </c>
      <c r="H209" t="s">
        <v>171</v>
      </c>
      <c r="I209" s="8" t="s">
        <v>80</v>
      </c>
      <c r="K209" s="10">
        <v>377</v>
      </c>
      <c r="L209" s="9" t="s">
        <v>491</v>
      </c>
      <c r="M209" s="11" t="s">
        <v>923</v>
      </c>
      <c r="N209" s="9" t="s">
        <v>492</v>
      </c>
      <c r="O209" t="str">
        <f t="shared" si="12"/>
        <v>YES</v>
      </c>
      <c r="P209" t="str">
        <f t="shared" si="13"/>
        <v>YES</v>
      </c>
    </row>
    <row r="210" spans="1:16" x14ac:dyDescent="0.15">
      <c r="A210" s="5">
        <f t="shared" si="11"/>
        <v>1</v>
      </c>
      <c r="B210" s="6">
        <v>208</v>
      </c>
      <c r="C210" t="s">
        <v>493</v>
      </c>
      <c r="D210" t="s">
        <v>507</v>
      </c>
      <c r="E210" t="s">
        <v>494</v>
      </c>
      <c r="F210" t="s">
        <v>725</v>
      </c>
      <c r="G210" t="s">
        <v>725</v>
      </c>
      <c r="H210" t="s">
        <v>172</v>
      </c>
      <c r="I210" s="8" t="s">
        <v>80</v>
      </c>
      <c r="K210" s="10">
        <v>378</v>
      </c>
      <c r="L210" s="9" t="s">
        <v>493</v>
      </c>
      <c r="M210" s="11" t="s">
        <v>923</v>
      </c>
      <c r="N210" s="9" t="s">
        <v>494</v>
      </c>
      <c r="O210" t="str">
        <f t="shared" si="12"/>
        <v>YES</v>
      </c>
      <c r="P210" t="str">
        <f t="shared" si="13"/>
        <v>YES</v>
      </c>
    </row>
    <row r="211" spans="1:16" x14ac:dyDescent="0.15">
      <c r="A211" s="5">
        <f t="shared" si="11"/>
        <v>1</v>
      </c>
      <c r="B211" s="6">
        <v>209</v>
      </c>
      <c r="C211" t="s">
        <v>494</v>
      </c>
      <c r="D211" t="s">
        <v>507</v>
      </c>
      <c r="E211" t="s">
        <v>495</v>
      </c>
      <c r="F211" t="s">
        <v>725</v>
      </c>
      <c r="G211" t="s">
        <v>725</v>
      </c>
      <c r="H211" t="s">
        <v>173</v>
      </c>
      <c r="I211" s="8" t="s">
        <v>80</v>
      </c>
      <c r="K211" s="10">
        <v>379</v>
      </c>
      <c r="L211" s="9" t="s">
        <v>494</v>
      </c>
      <c r="M211" s="11" t="s">
        <v>923</v>
      </c>
      <c r="N211" s="9" t="s">
        <v>495</v>
      </c>
      <c r="O211" t="str">
        <f t="shared" si="12"/>
        <v>YES</v>
      </c>
      <c r="P211" t="str">
        <f t="shared" si="13"/>
        <v>YES</v>
      </c>
    </row>
    <row r="212" spans="1:16" x14ac:dyDescent="0.15">
      <c r="A212" s="5">
        <f t="shared" si="11"/>
        <v>2</v>
      </c>
      <c r="B212" s="6">
        <v>210</v>
      </c>
      <c r="C212" t="s">
        <v>2</v>
      </c>
      <c r="D212" t="s">
        <v>506</v>
      </c>
      <c r="E212" t="s">
        <v>3</v>
      </c>
      <c r="F212" t="s">
        <v>245</v>
      </c>
      <c r="G212" t="s">
        <v>246</v>
      </c>
      <c r="H212" t="s">
        <v>725</v>
      </c>
      <c r="I212" s="8" t="s">
        <v>80</v>
      </c>
      <c r="K212" s="12">
        <v>277278</v>
      </c>
      <c r="L212" s="9" t="s">
        <v>2</v>
      </c>
      <c r="M212" s="9" t="s">
        <v>922</v>
      </c>
      <c r="N212" s="9" t="s">
        <v>3</v>
      </c>
      <c r="O212" t="str">
        <f t="shared" si="12"/>
        <v>YES</v>
      </c>
      <c r="P212" t="str">
        <f t="shared" si="13"/>
        <v>YES</v>
      </c>
    </row>
    <row r="213" spans="1:16" x14ac:dyDescent="0.15">
      <c r="A213" s="5">
        <f t="shared" si="11"/>
        <v>2</v>
      </c>
      <c r="B213" s="6">
        <v>211</v>
      </c>
      <c r="C213" t="s">
        <v>4</v>
      </c>
      <c r="D213" t="s">
        <v>506</v>
      </c>
      <c r="E213" t="s">
        <v>5</v>
      </c>
      <c r="F213" t="s">
        <v>247</v>
      </c>
      <c r="G213" t="s">
        <v>248</v>
      </c>
      <c r="H213" t="s">
        <v>725</v>
      </c>
      <c r="I213" s="8" t="s">
        <v>80</v>
      </c>
      <c r="K213" s="12">
        <v>279280</v>
      </c>
      <c r="L213" s="9" t="s">
        <v>4</v>
      </c>
      <c r="M213" s="9" t="s">
        <v>922</v>
      </c>
      <c r="N213" s="9" t="s">
        <v>5</v>
      </c>
      <c r="O213" t="str">
        <f t="shared" si="12"/>
        <v>YES</v>
      </c>
      <c r="P213" t="str">
        <f t="shared" si="13"/>
        <v>YES</v>
      </c>
    </row>
    <row r="214" spans="1:16" x14ac:dyDescent="0.15">
      <c r="A214" s="5">
        <f t="shared" si="11"/>
        <v>2</v>
      </c>
      <c r="B214" s="6">
        <v>212</v>
      </c>
      <c r="C214" t="s">
        <v>6</v>
      </c>
      <c r="D214" t="s">
        <v>506</v>
      </c>
      <c r="E214" t="s">
        <v>7</v>
      </c>
      <c r="F214" t="s">
        <v>249</v>
      </c>
      <c r="G214" t="s">
        <v>250</v>
      </c>
      <c r="H214" t="s">
        <v>725</v>
      </c>
      <c r="I214" s="8" t="s">
        <v>80</v>
      </c>
      <c r="K214" s="12">
        <v>281282</v>
      </c>
      <c r="L214" s="9" t="s">
        <v>6</v>
      </c>
      <c r="M214" s="9" t="s">
        <v>922</v>
      </c>
      <c r="N214" s="9" t="s">
        <v>7</v>
      </c>
      <c r="O214" t="str">
        <f t="shared" si="12"/>
        <v>YES</v>
      </c>
      <c r="P214" t="str">
        <f t="shared" si="13"/>
        <v>YES</v>
      </c>
    </row>
    <row r="215" spans="1:16" x14ac:dyDescent="0.15">
      <c r="A215" s="5">
        <f t="shared" si="11"/>
        <v>1</v>
      </c>
      <c r="B215" s="6">
        <v>213</v>
      </c>
      <c r="C215" t="s">
        <v>7</v>
      </c>
      <c r="D215" t="s">
        <v>507</v>
      </c>
      <c r="E215" t="s">
        <v>8</v>
      </c>
      <c r="F215" t="s">
        <v>725</v>
      </c>
      <c r="G215" t="s">
        <v>725</v>
      </c>
      <c r="H215" t="s">
        <v>174</v>
      </c>
      <c r="I215" s="8" t="s">
        <v>80</v>
      </c>
      <c r="K215" s="10">
        <v>283</v>
      </c>
      <c r="L215" s="9" t="s">
        <v>7</v>
      </c>
      <c r="M215" s="11" t="s">
        <v>923</v>
      </c>
      <c r="N215" s="9" t="s">
        <v>8</v>
      </c>
      <c r="O215" t="str">
        <f t="shared" si="12"/>
        <v>YES</v>
      </c>
      <c r="P215" t="str">
        <f t="shared" si="13"/>
        <v>YES</v>
      </c>
    </row>
    <row r="216" spans="1:16" x14ac:dyDescent="0.15">
      <c r="A216" s="5">
        <f t="shared" si="11"/>
        <v>1</v>
      </c>
      <c r="B216" s="6">
        <v>214</v>
      </c>
      <c r="C216" t="s">
        <v>9</v>
      </c>
      <c r="D216" t="s">
        <v>507</v>
      </c>
      <c r="E216" t="s">
        <v>10</v>
      </c>
      <c r="F216" t="s">
        <v>725</v>
      </c>
      <c r="G216" t="s">
        <v>725</v>
      </c>
      <c r="H216" t="s">
        <v>175</v>
      </c>
      <c r="I216" s="8" t="s">
        <v>80</v>
      </c>
      <c r="K216" s="10">
        <v>284</v>
      </c>
      <c r="L216" s="9" t="s">
        <v>9</v>
      </c>
      <c r="M216" s="11" t="s">
        <v>923</v>
      </c>
      <c r="N216" s="9" t="s">
        <v>10</v>
      </c>
      <c r="O216" t="str">
        <f t="shared" si="12"/>
        <v>YES</v>
      </c>
      <c r="P216" t="str">
        <f t="shared" si="13"/>
        <v>YES</v>
      </c>
    </row>
    <row r="217" spans="1:16" x14ac:dyDescent="0.15">
      <c r="A217" s="5">
        <f t="shared" si="11"/>
        <v>1</v>
      </c>
      <c r="B217" s="6">
        <v>215</v>
      </c>
      <c r="C217" t="s">
        <v>10</v>
      </c>
      <c r="D217" t="s">
        <v>507</v>
      </c>
      <c r="E217" t="s">
        <v>11</v>
      </c>
      <c r="F217" t="s">
        <v>725</v>
      </c>
      <c r="G217" t="s">
        <v>725</v>
      </c>
      <c r="H217" t="s">
        <v>176</v>
      </c>
      <c r="I217" s="8" t="s">
        <v>80</v>
      </c>
      <c r="K217" s="10">
        <v>285</v>
      </c>
      <c r="L217" s="9" t="s">
        <v>10</v>
      </c>
      <c r="M217" s="11" t="s">
        <v>923</v>
      </c>
      <c r="N217" s="9" t="s">
        <v>11</v>
      </c>
      <c r="O217" t="str">
        <f t="shared" si="12"/>
        <v>YES</v>
      </c>
      <c r="P217" t="str">
        <f t="shared" si="13"/>
        <v>YES</v>
      </c>
    </row>
    <row r="218" spans="1:16" x14ac:dyDescent="0.15">
      <c r="A218" s="5">
        <f t="shared" si="11"/>
        <v>2</v>
      </c>
      <c r="B218" s="6">
        <v>216</v>
      </c>
      <c r="C218" t="s">
        <v>44</v>
      </c>
      <c r="D218" t="s">
        <v>506</v>
      </c>
      <c r="E218" t="s">
        <v>45</v>
      </c>
      <c r="F218" t="s">
        <v>251</v>
      </c>
      <c r="G218" t="s">
        <v>252</v>
      </c>
      <c r="H218" t="s">
        <v>725</v>
      </c>
      <c r="I218" s="8" t="s">
        <v>80</v>
      </c>
      <c r="K218" s="12">
        <v>303304</v>
      </c>
      <c r="L218" s="9" t="s">
        <v>44</v>
      </c>
      <c r="M218" s="9" t="s">
        <v>922</v>
      </c>
      <c r="N218" s="9" t="s">
        <v>45</v>
      </c>
      <c r="O218" t="str">
        <f t="shared" si="12"/>
        <v>YES</v>
      </c>
      <c r="P218" t="str">
        <f t="shared" si="13"/>
        <v>YES</v>
      </c>
    </row>
    <row r="219" spans="1:16" x14ac:dyDescent="0.15">
      <c r="A219" s="5">
        <f t="shared" si="11"/>
        <v>2</v>
      </c>
      <c r="B219" s="6">
        <v>217</v>
      </c>
      <c r="C219" t="s">
        <v>46</v>
      </c>
      <c r="D219" t="s">
        <v>506</v>
      </c>
      <c r="E219" t="s">
        <v>47</v>
      </c>
      <c r="F219" t="s">
        <v>253</v>
      </c>
      <c r="G219" t="s">
        <v>254</v>
      </c>
      <c r="H219" t="s">
        <v>725</v>
      </c>
      <c r="I219" s="8" t="s">
        <v>80</v>
      </c>
      <c r="K219" s="12">
        <v>305306</v>
      </c>
      <c r="L219" s="9" t="s">
        <v>46</v>
      </c>
      <c r="M219" s="9" t="s">
        <v>922</v>
      </c>
      <c r="N219" s="9" t="s">
        <v>47</v>
      </c>
      <c r="O219" t="str">
        <f t="shared" si="12"/>
        <v>YES</v>
      </c>
      <c r="P219" t="str">
        <f t="shared" si="13"/>
        <v>YES</v>
      </c>
    </row>
    <row r="220" spans="1:16" x14ac:dyDescent="0.15">
      <c r="A220" s="5">
        <f t="shared" si="11"/>
        <v>2</v>
      </c>
      <c r="B220" s="6">
        <v>218</v>
      </c>
      <c r="C220" t="s">
        <v>48</v>
      </c>
      <c r="D220" t="s">
        <v>506</v>
      </c>
      <c r="E220" t="s">
        <v>49</v>
      </c>
      <c r="F220" t="s">
        <v>255</v>
      </c>
      <c r="G220" t="s">
        <v>256</v>
      </c>
      <c r="H220" t="s">
        <v>725</v>
      </c>
      <c r="I220" s="8" t="s">
        <v>80</v>
      </c>
      <c r="K220" s="12">
        <v>307308</v>
      </c>
      <c r="L220" s="9" t="s">
        <v>48</v>
      </c>
      <c r="M220" s="9" t="s">
        <v>922</v>
      </c>
      <c r="N220" s="9" t="s">
        <v>49</v>
      </c>
      <c r="O220" t="str">
        <f t="shared" si="12"/>
        <v>YES</v>
      </c>
      <c r="P220" t="str">
        <f t="shared" si="13"/>
        <v>YES</v>
      </c>
    </row>
    <row r="221" spans="1:16" x14ac:dyDescent="0.15">
      <c r="A221" s="5">
        <f t="shared" si="11"/>
        <v>1</v>
      </c>
      <c r="B221" s="6">
        <v>219</v>
      </c>
      <c r="C221" t="s">
        <v>49</v>
      </c>
      <c r="D221" t="s">
        <v>507</v>
      </c>
      <c r="E221" t="s">
        <v>50</v>
      </c>
      <c r="F221" t="s">
        <v>725</v>
      </c>
      <c r="G221" t="s">
        <v>725</v>
      </c>
      <c r="H221" t="s">
        <v>177</v>
      </c>
      <c r="I221" s="8" t="s">
        <v>80</v>
      </c>
      <c r="K221" s="10">
        <v>309</v>
      </c>
      <c r="L221" s="9" t="s">
        <v>49</v>
      </c>
      <c r="M221" s="11" t="s">
        <v>923</v>
      </c>
      <c r="N221" s="9" t="s">
        <v>50</v>
      </c>
      <c r="O221" t="str">
        <f t="shared" si="12"/>
        <v>YES</v>
      </c>
      <c r="P221" t="str">
        <f t="shared" si="13"/>
        <v>YES</v>
      </c>
    </row>
    <row r="222" spans="1:16" x14ac:dyDescent="0.15">
      <c r="A222" s="5">
        <f t="shared" si="11"/>
        <v>1</v>
      </c>
      <c r="B222" s="6">
        <v>220</v>
      </c>
      <c r="C222" t="s">
        <v>51</v>
      </c>
      <c r="D222" t="s">
        <v>507</v>
      </c>
      <c r="E222" t="s">
        <v>52</v>
      </c>
      <c r="F222" t="s">
        <v>725</v>
      </c>
      <c r="G222" t="s">
        <v>725</v>
      </c>
      <c r="H222" t="s">
        <v>178</v>
      </c>
      <c r="I222" s="8" t="s">
        <v>80</v>
      </c>
      <c r="K222" s="10">
        <v>310</v>
      </c>
      <c r="L222" s="9" t="s">
        <v>51</v>
      </c>
      <c r="M222" s="11" t="s">
        <v>923</v>
      </c>
      <c r="N222" s="9" t="s">
        <v>52</v>
      </c>
      <c r="O222" t="str">
        <f t="shared" si="12"/>
        <v>YES</v>
      </c>
      <c r="P222" t="str">
        <f t="shared" si="13"/>
        <v>YES</v>
      </c>
    </row>
    <row r="223" spans="1:16" x14ac:dyDescent="0.15">
      <c r="A223" s="5">
        <f t="shared" si="11"/>
        <v>1</v>
      </c>
      <c r="B223" s="6">
        <v>221</v>
      </c>
      <c r="C223" t="s">
        <v>52</v>
      </c>
      <c r="D223" t="s">
        <v>507</v>
      </c>
      <c r="E223" t="s">
        <v>53</v>
      </c>
      <c r="F223" t="s">
        <v>725</v>
      </c>
      <c r="G223" t="s">
        <v>725</v>
      </c>
      <c r="H223" t="s">
        <v>179</v>
      </c>
      <c r="I223" s="8" t="s">
        <v>80</v>
      </c>
      <c r="K223" s="10">
        <v>311</v>
      </c>
      <c r="L223" s="9" t="s">
        <v>52</v>
      </c>
      <c r="M223" s="11" t="s">
        <v>923</v>
      </c>
      <c r="N223" s="9" t="s">
        <v>53</v>
      </c>
      <c r="O223" t="str">
        <f t="shared" si="12"/>
        <v>YES</v>
      </c>
      <c r="P223" t="str">
        <f t="shared" si="13"/>
        <v>YES</v>
      </c>
    </row>
    <row r="224" spans="1:16" x14ac:dyDescent="0.15">
      <c r="A224" s="5">
        <f t="shared" si="11"/>
        <v>1</v>
      </c>
      <c r="B224" s="6">
        <v>222</v>
      </c>
      <c r="C224" t="s">
        <v>496</v>
      </c>
      <c r="D224" t="s">
        <v>507</v>
      </c>
      <c r="E224" t="s">
        <v>193</v>
      </c>
      <c r="F224" t="s">
        <v>725</v>
      </c>
      <c r="G224" t="s">
        <v>725</v>
      </c>
      <c r="H224" t="s">
        <v>180</v>
      </c>
      <c r="I224" s="8" t="s">
        <v>725</v>
      </c>
      <c r="K224" s="10">
        <v>316</v>
      </c>
      <c r="L224" s="9" t="s">
        <v>496</v>
      </c>
      <c r="M224" s="11" t="s">
        <v>923</v>
      </c>
      <c r="N224" s="9" t="s">
        <v>193</v>
      </c>
      <c r="O224" t="str">
        <f t="shared" si="12"/>
        <v>YES</v>
      </c>
      <c r="P224" t="str">
        <f t="shared" si="13"/>
        <v>YES</v>
      </c>
    </row>
    <row r="225" spans="1:17" x14ac:dyDescent="0.15">
      <c r="A225" s="5">
        <f t="shared" si="11"/>
        <v>1</v>
      </c>
      <c r="B225" s="6">
        <v>223</v>
      </c>
      <c r="C225" t="s">
        <v>497</v>
      </c>
      <c r="D225" t="s">
        <v>507</v>
      </c>
      <c r="E225" t="s">
        <v>193</v>
      </c>
      <c r="F225" t="s">
        <v>725</v>
      </c>
      <c r="G225" t="s">
        <v>725</v>
      </c>
      <c r="H225" t="s">
        <v>181</v>
      </c>
      <c r="I225" s="8" t="s">
        <v>725</v>
      </c>
      <c r="K225" s="10">
        <v>340</v>
      </c>
      <c r="L225" s="9" t="s">
        <v>497</v>
      </c>
      <c r="M225" s="11" t="s">
        <v>923</v>
      </c>
      <c r="N225" s="9" t="s">
        <v>193</v>
      </c>
      <c r="O225" t="str">
        <f t="shared" si="12"/>
        <v>YES</v>
      </c>
      <c r="P225" t="str">
        <f t="shared" si="13"/>
        <v>YES</v>
      </c>
    </row>
    <row r="226" spans="1:17" x14ac:dyDescent="0.15">
      <c r="A226" s="5">
        <f t="shared" si="11"/>
        <v>1</v>
      </c>
      <c r="B226" s="6">
        <v>224</v>
      </c>
      <c r="C226" t="s">
        <v>498</v>
      </c>
      <c r="D226" t="s">
        <v>507</v>
      </c>
      <c r="E226" t="s">
        <v>193</v>
      </c>
      <c r="F226" t="s">
        <v>725</v>
      </c>
      <c r="G226" t="s">
        <v>725</v>
      </c>
      <c r="H226" t="s">
        <v>182</v>
      </c>
      <c r="I226" s="8" t="s">
        <v>725</v>
      </c>
      <c r="K226" s="10">
        <v>336</v>
      </c>
      <c r="L226" s="9" t="s">
        <v>498</v>
      </c>
      <c r="M226" s="11" t="s">
        <v>923</v>
      </c>
      <c r="N226" s="9" t="s">
        <v>193</v>
      </c>
      <c r="O226" t="str">
        <f t="shared" si="12"/>
        <v>YES</v>
      </c>
      <c r="P226" t="str">
        <f t="shared" si="13"/>
        <v>YES</v>
      </c>
    </row>
    <row r="227" spans="1:17" x14ac:dyDescent="0.15">
      <c r="A227" s="5">
        <f t="shared" si="11"/>
        <v>1</v>
      </c>
      <c r="B227" s="6">
        <v>225</v>
      </c>
      <c r="C227" t="s">
        <v>499</v>
      </c>
      <c r="D227" t="s">
        <v>507</v>
      </c>
      <c r="E227" t="s">
        <v>193</v>
      </c>
      <c r="F227" t="s">
        <v>725</v>
      </c>
      <c r="G227" t="s">
        <v>725</v>
      </c>
      <c r="H227" t="s">
        <v>183</v>
      </c>
      <c r="I227" s="8" t="s">
        <v>725</v>
      </c>
      <c r="K227" s="10">
        <v>380</v>
      </c>
      <c r="L227" s="9" t="s">
        <v>499</v>
      </c>
      <c r="M227" s="11" t="s">
        <v>923</v>
      </c>
      <c r="N227" s="9" t="s">
        <v>193</v>
      </c>
      <c r="O227" t="str">
        <f t="shared" si="12"/>
        <v>YES</v>
      </c>
      <c r="P227" t="str">
        <f t="shared" si="13"/>
        <v>YES</v>
      </c>
    </row>
    <row r="228" spans="1:17" x14ac:dyDescent="0.15">
      <c r="A228" s="5">
        <f t="shared" si="11"/>
        <v>1</v>
      </c>
      <c r="B228" s="6">
        <v>226</v>
      </c>
      <c r="C228" t="s">
        <v>658</v>
      </c>
      <c r="D228" t="s">
        <v>507</v>
      </c>
      <c r="E228" t="s">
        <v>193</v>
      </c>
      <c r="F228" t="s">
        <v>725</v>
      </c>
      <c r="G228" t="s">
        <v>725</v>
      </c>
      <c r="H228" t="s">
        <v>184</v>
      </c>
      <c r="I228" s="8" t="s">
        <v>725</v>
      </c>
      <c r="K228" s="10">
        <v>244</v>
      </c>
      <c r="L228" s="9" t="s">
        <v>658</v>
      </c>
      <c r="M228" s="11" t="s">
        <v>923</v>
      </c>
      <c r="N228" s="9" t="s">
        <v>193</v>
      </c>
      <c r="O228" t="str">
        <f t="shared" ref="O228:O242" si="14">IF(L228=C228,"YES","NO")</f>
        <v>YES</v>
      </c>
      <c r="P228" t="str">
        <f t="shared" si="13"/>
        <v>YES</v>
      </c>
    </row>
    <row r="229" spans="1:17" x14ac:dyDescent="0.15">
      <c r="A229" s="5">
        <f t="shared" si="11"/>
        <v>1</v>
      </c>
      <c r="B229" s="6">
        <v>227</v>
      </c>
      <c r="C229" t="s">
        <v>12</v>
      </c>
      <c r="D229" t="s">
        <v>507</v>
      </c>
      <c r="E229" t="s">
        <v>193</v>
      </c>
      <c r="F229" t="s">
        <v>725</v>
      </c>
      <c r="G229" t="s">
        <v>725</v>
      </c>
      <c r="H229" t="s">
        <v>185</v>
      </c>
      <c r="I229" s="8" t="s">
        <v>725</v>
      </c>
      <c r="K229" s="10">
        <v>286</v>
      </c>
      <c r="L229" s="9" t="s">
        <v>12</v>
      </c>
      <c r="M229" s="11" t="s">
        <v>923</v>
      </c>
      <c r="N229" s="9" t="s">
        <v>193</v>
      </c>
      <c r="O229" t="str">
        <f t="shared" si="14"/>
        <v>YES</v>
      </c>
      <c r="P229" t="str">
        <f t="shared" si="13"/>
        <v>YES</v>
      </c>
    </row>
    <row r="230" spans="1:17" x14ac:dyDescent="0.15">
      <c r="A230" s="5">
        <f t="shared" si="11"/>
        <v>1</v>
      </c>
      <c r="B230" s="6">
        <v>228</v>
      </c>
      <c r="C230" t="s">
        <v>13</v>
      </c>
      <c r="D230" t="s">
        <v>507</v>
      </c>
      <c r="E230" t="s">
        <v>193</v>
      </c>
      <c r="F230" t="s">
        <v>725</v>
      </c>
      <c r="G230" t="s">
        <v>725</v>
      </c>
      <c r="H230" t="s">
        <v>186</v>
      </c>
      <c r="I230" s="8" t="s">
        <v>725</v>
      </c>
      <c r="K230" s="10">
        <v>264</v>
      </c>
      <c r="L230" s="9" t="s">
        <v>13</v>
      </c>
      <c r="M230" s="11" t="s">
        <v>923</v>
      </c>
      <c r="N230" s="9" t="s">
        <v>193</v>
      </c>
      <c r="O230" t="str">
        <f t="shared" si="14"/>
        <v>YES</v>
      </c>
      <c r="P230" t="str">
        <f t="shared" si="13"/>
        <v>YES</v>
      </c>
    </row>
    <row r="231" spans="1:17" x14ac:dyDescent="0.15">
      <c r="A231" s="5">
        <f t="shared" si="11"/>
        <v>1</v>
      </c>
      <c r="B231" s="6">
        <v>229</v>
      </c>
      <c r="C231" t="s">
        <v>39</v>
      </c>
      <c r="D231" t="s">
        <v>507</v>
      </c>
      <c r="E231" t="s">
        <v>193</v>
      </c>
      <c r="F231" t="s">
        <v>725</v>
      </c>
      <c r="G231" t="s">
        <v>725</v>
      </c>
      <c r="H231" t="s">
        <v>187</v>
      </c>
      <c r="I231" s="8" t="s">
        <v>725</v>
      </c>
      <c r="K231" s="10">
        <v>312</v>
      </c>
      <c r="L231" s="9" t="s">
        <v>39</v>
      </c>
      <c r="M231" s="11" t="s">
        <v>923</v>
      </c>
      <c r="N231" s="9" t="s">
        <v>193</v>
      </c>
      <c r="O231" t="str">
        <f t="shared" si="14"/>
        <v>YES</v>
      </c>
      <c r="P231" t="str">
        <f t="shared" si="13"/>
        <v>YES</v>
      </c>
    </row>
    <row r="232" spans="1:17" x14ac:dyDescent="0.15">
      <c r="A232" s="5">
        <f t="shared" si="11"/>
        <v>1</v>
      </c>
      <c r="B232" s="6">
        <v>230</v>
      </c>
      <c r="C232" t="s">
        <v>54</v>
      </c>
      <c r="D232" t="s">
        <v>507</v>
      </c>
      <c r="E232" t="s">
        <v>193</v>
      </c>
      <c r="F232" t="s">
        <v>725</v>
      </c>
      <c r="G232" t="s">
        <v>725</v>
      </c>
      <c r="H232" t="s">
        <v>188</v>
      </c>
      <c r="I232" s="8" t="s">
        <v>725</v>
      </c>
      <c r="K232" s="10">
        <v>290</v>
      </c>
      <c r="L232" s="9" t="s">
        <v>54</v>
      </c>
      <c r="M232" s="11" t="s">
        <v>923</v>
      </c>
      <c r="N232" s="9" t="s">
        <v>193</v>
      </c>
      <c r="O232" t="str">
        <f t="shared" si="14"/>
        <v>YES</v>
      </c>
      <c r="P232" t="str">
        <f t="shared" si="13"/>
        <v>YES</v>
      </c>
    </row>
    <row r="233" spans="1:17" x14ac:dyDescent="0.15">
      <c r="A233" s="5">
        <f t="shared" si="11"/>
        <v>2</v>
      </c>
      <c r="B233" s="6">
        <v>231</v>
      </c>
      <c r="C233" t="s">
        <v>14</v>
      </c>
      <c r="D233" t="s">
        <v>506</v>
      </c>
      <c r="E233" t="s">
        <v>15</v>
      </c>
      <c r="F233" t="s">
        <v>257</v>
      </c>
      <c r="G233" t="s">
        <v>258</v>
      </c>
      <c r="H233" t="s">
        <v>725</v>
      </c>
      <c r="I233" s="5">
        <v>22</v>
      </c>
      <c r="K233" s="12">
        <v>245246</v>
      </c>
      <c r="L233" s="9" t="s">
        <v>14</v>
      </c>
      <c r="M233" s="9" t="s">
        <v>922</v>
      </c>
      <c r="N233" s="9" t="s">
        <v>15</v>
      </c>
      <c r="O233" t="str">
        <f t="shared" si="14"/>
        <v>YES</v>
      </c>
      <c r="P233" t="str">
        <f t="shared" si="13"/>
        <v>YES</v>
      </c>
      <c r="Q233" s="9" t="s">
        <v>930</v>
      </c>
    </row>
    <row r="234" spans="1:17" x14ac:dyDescent="0.15">
      <c r="A234" s="5">
        <f t="shared" si="11"/>
        <v>2</v>
      </c>
      <c r="B234" s="6">
        <v>232</v>
      </c>
      <c r="C234" t="s">
        <v>16</v>
      </c>
      <c r="D234" t="s">
        <v>506</v>
      </c>
      <c r="E234" t="s">
        <v>17</v>
      </c>
      <c r="F234" t="s">
        <v>259</v>
      </c>
      <c r="G234" t="s">
        <v>260</v>
      </c>
      <c r="H234" t="s">
        <v>725</v>
      </c>
      <c r="I234" s="5">
        <v>22</v>
      </c>
      <c r="K234" s="12">
        <v>247248</v>
      </c>
      <c r="L234" s="9" t="s">
        <v>16</v>
      </c>
      <c r="M234" s="9" t="s">
        <v>922</v>
      </c>
      <c r="N234" s="9" t="s">
        <v>17</v>
      </c>
      <c r="O234" t="str">
        <f t="shared" si="14"/>
        <v>YES</v>
      </c>
      <c r="P234" t="str">
        <f t="shared" si="13"/>
        <v>YES</v>
      </c>
      <c r="Q234" s="9" t="s">
        <v>931</v>
      </c>
    </row>
    <row r="235" spans="1:17" x14ac:dyDescent="0.15">
      <c r="A235" s="5">
        <f t="shared" si="11"/>
        <v>2</v>
      </c>
      <c r="B235" s="6">
        <v>233</v>
      </c>
      <c r="C235" t="s">
        <v>18</v>
      </c>
      <c r="D235" t="s">
        <v>506</v>
      </c>
      <c r="E235" t="s">
        <v>19</v>
      </c>
      <c r="F235" t="s">
        <v>261</v>
      </c>
      <c r="G235" t="s">
        <v>262</v>
      </c>
      <c r="H235" t="s">
        <v>725</v>
      </c>
      <c r="I235" s="5">
        <v>22</v>
      </c>
      <c r="K235" s="12">
        <v>249250</v>
      </c>
      <c r="L235" s="9" t="s">
        <v>18</v>
      </c>
      <c r="M235" s="9" t="s">
        <v>922</v>
      </c>
      <c r="N235" s="9" t="s">
        <v>19</v>
      </c>
      <c r="O235" t="str">
        <f t="shared" si="14"/>
        <v>YES</v>
      </c>
      <c r="P235" t="str">
        <f t="shared" si="13"/>
        <v>YES</v>
      </c>
      <c r="Q235" s="9" t="s">
        <v>932</v>
      </c>
    </row>
    <row r="236" spans="1:17" x14ac:dyDescent="0.15">
      <c r="A236" s="5">
        <f t="shared" si="11"/>
        <v>1</v>
      </c>
      <c r="B236" s="6">
        <v>234</v>
      </c>
      <c r="C236" t="s">
        <v>19</v>
      </c>
      <c r="D236" t="s">
        <v>507</v>
      </c>
      <c r="E236" t="s">
        <v>20</v>
      </c>
      <c r="F236" t="s">
        <v>725</v>
      </c>
      <c r="G236" t="s">
        <v>725</v>
      </c>
      <c r="H236" t="s">
        <v>189</v>
      </c>
      <c r="I236" s="5">
        <v>22</v>
      </c>
      <c r="K236" s="10">
        <v>251</v>
      </c>
      <c r="L236" s="9" t="s">
        <v>19</v>
      </c>
      <c r="M236" s="11" t="s">
        <v>923</v>
      </c>
      <c r="N236" s="9" t="s">
        <v>20</v>
      </c>
      <c r="O236" t="str">
        <f t="shared" si="14"/>
        <v>YES</v>
      </c>
      <c r="P236" t="str">
        <f t="shared" si="13"/>
        <v>YES</v>
      </c>
    </row>
    <row r="237" spans="1:17" x14ac:dyDescent="0.15">
      <c r="A237" s="5">
        <f t="shared" si="11"/>
        <v>2</v>
      </c>
      <c r="B237" s="6">
        <v>235</v>
      </c>
      <c r="C237" t="s">
        <v>21</v>
      </c>
      <c r="D237" t="s">
        <v>506</v>
      </c>
      <c r="E237" t="s">
        <v>22</v>
      </c>
      <c r="F237" t="s">
        <v>263</v>
      </c>
      <c r="G237" t="s">
        <v>264</v>
      </c>
      <c r="H237" t="s">
        <v>725</v>
      </c>
      <c r="I237" s="5">
        <v>22</v>
      </c>
      <c r="K237" s="12">
        <v>252253</v>
      </c>
      <c r="L237" s="9" t="s">
        <v>21</v>
      </c>
      <c r="M237" s="9" t="s">
        <v>922</v>
      </c>
      <c r="N237" s="9" t="s">
        <v>22</v>
      </c>
      <c r="O237" t="str">
        <f t="shared" si="14"/>
        <v>YES</v>
      </c>
      <c r="P237" t="str">
        <f t="shared" si="13"/>
        <v>YES</v>
      </c>
      <c r="Q237" s="9" t="s">
        <v>933</v>
      </c>
    </row>
    <row r="238" spans="1:17" x14ac:dyDescent="0.15">
      <c r="A238" s="5">
        <f t="shared" si="11"/>
        <v>1</v>
      </c>
      <c r="B238" s="6">
        <v>236</v>
      </c>
      <c r="C238" t="s">
        <v>22</v>
      </c>
      <c r="D238" t="s">
        <v>507</v>
      </c>
      <c r="E238" t="s">
        <v>23</v>
      </c>
      <c r="F238" t="s">
        <v>725</v>
      </c>
      <c r="G238" t="s">
        <v>725</v>
      </c>
      <c r="H238" t="s">
        <v>190</v>
      </c>
      <c r="I238" s="5">
        <v>22</v>
      </c>
      <c r="K238" s="10">
        <v>254</v>
      </c>
      <c r="L238" s="9" t="s">
        <v>22</v>
      </c>
      <c r="M238" s="11" t="s">
        <v>923</v>
      </c>
      <c r="N238" s="9" t="s">
        <v>23</v>
      </c>
      <c r="O238" t="str">
        <f t="shared" si="14"/>
        <v>YES</v>
      </c>
      <c r="P238" t="str">
        <f t="shared" si="13"/>
        <v>YES</v>
      </c>
    </row>
    <row r="239" spans="1:17" x14ac:dyDescent="0.15">
      <c r="A239" s="5">
        <f t="shared" si="11"/>
        <v>2</v>
      </c>
      <c r="B239" s="6">
        <v>237</v>
      </c>
      <c r="C239" t="s">
        <v>500</v>
      </c>
      <c r="D239" t="s">
        <v>506</v>
      </c>
      <c r="E239" t="s">
        <v>501</v>
      </c>
      <c r="F239" t="s">
        <v>265</v>
      </c>
      <c r="G239" t="s">
        <v>266</v>
      </c>
      <c r="H239" t="s">
        <v>725</v>
      </c>
      <c r="I239" s="5" t="s">
        <v>725</v>
      </c>
      <c r="K239" s="12">
        <v>255256</v>
      </c>
      <c r="L239" s="9" t="s">
        <v>500</v>
      </c>
      <c r="M239" s="9" t="s">
        <v>922</v>
      </c>
      <c r="N239" s="9" t="s">
        <v>501</v>
      </c>
      <c r="O239" t="str">
        <f t="shared" si="14"/>
        <v>YES</v>
      </c>
      <c r="P239" t="str">
        <f t="shared" si="13"/>
        <v>YES</v>
      </c>
    </row>
    <row r="240" spans="1:17" x14ac:dyDescent="0.15">
      <c r="A240" s="5">
        <f t="shared" si="11"/>
        <v>1</v>
      </c>
      <c r="B240" s="6">
        <v>238</v>
      </c>
      <c r="C240" t="s">
        <v>501</v>
      </c>
      <c r="D240" t="s">
        <v>507</v>
      </c>
      <c r="E240" t="s">
        <v>502</v>
      </c>
      <c r="F240" t="s">
        <v>725</v>
      </c>
      <c r="G240" t="s">
        <v>725</v>
      </c>
      <c r="H240" t="s">
        <v>191</v>
      </c>
      <c r="I240" s="5" t="s">
        <v>725</v>
      </c>
      <c r="K240" s="10">
        <v>257</v>
      </c>
      <c r="L240" s="9" t="s">
        <v>501</v>
      </c>
      <c r="M240" s="11" t="s">
        <v>923</v>
      </c>
      <c r="N240" s="9" t="s">
        <v>502</v>
      </c>
      <c r="O240" t="str">
        <f t="shared" si="14"/>
        <v>YES</v>
      </c>
      <c r="P240" t="str">
        <f t="shared" si="13"/>
        <v>YES</v>
      </c>
    </row>
    <row r="241" spans="1:16" x14ac:dyDescent="0.15">
      <c r="A241" s="5">
        <f t="shared" si="11"/>
        <v>2</v>
      </c>
      <c r="B241" s="6">
        <v>239</v>
      </c>
      <c r="C241" t="s">
        <v>503</v>
      </c>
      <c r="D241" t="s">
        <v>506</v>
      </c>
      <c r="E241" t="s">
        <v>504</v>
      </c>
      <c r="F241" t="s">
        <v>267</v>
      </c>
      <c r="G241" t="s">
        <v>268</v>
      </c>
      <c r="H241" t="s">
        <v>725</v>
      </c>
      <c r="I241" s="5" t="s">
        <v>83</v>
      </c>
      <c r="K241" s="12">
        <v>258259</v>
      </c>
      <c r="L241" s="9" t="s">
        <v>503</v>
      </c>
      <c r="M241" s="9" t="s">
        <v>922</v>
      </c>
      <c r="N241" s="9" t="s">
        <v>504</v>
      </c>
      <c r="O241" t="str">
        <f t="shared" si="14"/>
        <v>YES</v>
      </c>
      <c r="P241" t="str">
        <f t="shared" si="13"/>
        <v>YES</v>
      </c>
    </row>
    <row r="242" spans="1:16" x14ac:dyDescent="0.15">
      <c r="A242" s="5">
        <f t="shared" si="11"/>
        <v>1</v>
      </c>
      <c r="B242" s="6">
        <v>240</v>
      </c>
      <c r="C242" t="s">
        <v>504</v>
      </c>
      <c r="D242" t="s">
        <v>507</v>
      </c>
      <c r="E242" t="s">
        <v>505</v>
      </c>
      <c r="F242" t="s">
        <v>725</v>
      </c>
      <c r="G242" t="s">
        <v>725</v>
      </c>
      <c r="H242" t="s">
        <v>192</v>
      </c>
      <c r="I242" s="5" t="s">
        <v>83</v>
      </c>
      <c r="K242" s="10">
        <v>260</v>
      </c>
      <c r="L242" s="9" t="s">
        <v>504</v>
      </c>
      <c r="M242" s="11" t="s">
        <v>923</v>
      </c>
      <c r="N242" s="9" t="s">
        <v>505</v>
      </c>
      <c r="O242" t="str">
        <f t="shared" si="14"/>
        <v>YES</v>
      </c>
      <c r="P242" t="str">
        <f t="shared" si="13"/>
        <v>YES</v>
      </c>
    </row>
    <row r="244" spans="1:16" x14ac:dyDescent="0.15">
      <c r="A244" s="2" t="s">
        <v>881</v>
      </c>
    </row>
    <row r="245" spans="1:16" x14ac:dyDescent="0.15">
      <c r="A245" s="5">
        <f>SUM(A3:A242)</f>
        <v>381</v>
      </c>
    </row>
    <row r="247" spans="1:16" x14ac:dyDescent="0.15">
      <c r="C247" t="s">
        <v>200</v>
      </c>
    </row>
    <row r="248" spans="1:16" x14ac:dyDescent="0.15">
      <c r="C248" t="s">
        <v>65</v>
      </c>
    </row>
    <row r="249" spans="1:16" x14ac:dyDescent="0.15">
      <c r="C249" t="s">
        <v>66</v>
      </c>
    </row>
    <row r="250" spans="1:16" x14ac:dyDescent="0.15">
      <c r="C250" t="s">
        <v>67</v>
      </c>
    </row>
    <row r="251" spans="1:16" x14ac:dyDescent="0.15">
      <c r="C251" t="s">
        <v>68</v>
      </c>
    </row>
    <row r="252" spans="1:16" x14ac:dyDescent="0.15">
      <c r="C252" s="4" t="s">
        <v>934</v>
      </c>
    </row>
    <row r="253" spans="1:16" x14ac:dyDescent="0.15">
      <c r="C253" t="s">
        <v>69</v>
      </c>
    </row>
    <row r="254" spans="1:16" x14ac:dyDescent="0.15">
      <c r="C254" s="4" t="s">
        <v>935</v>
      </c>
    </row>
    <row r="255" spans="1:16" x14ac:dyDescent="0.15">
      <c r="C255" s="1" t="s">
        <v>70</v>
      </c>
    </row>
    <row r="257" spans="3:8" x14ac:dyDescent="0.15">
      <c r="C257" s="2" t="s">
        <v>84</v>
      </c>
    </row>
    <row r="258" spans="3:8" x14ac:dyDescent="0.15">
      <c r="C258" s="13" t="s">
        <v>85</v>
      </c>
      <c r="D258" s="13"/>
      <c r="E258" s="13"/>
      <c r="F258" s="2" t="s">
        <v>86</v>
      </c>
    </row>
    <row r="259" spans="3:8" x14ac:dyDescent="0.15">
      <c r="C259" t="s">
        <v>849</v>
      </c>
      <c r="D259" t="s">
        <v>506</v>
      </c>
      <c r="E259" t="s">
        <v>87</v>
      </c>
      <c r="F259" s="14" t="s">
        <v>855</v>
      </c>
      <c r="G259" s="14"/>
      <c r="H259" s="14"/>
    </row>
    <row r="260" spans="3:8" x14ac:dyDescent="0.15">
      <c r="C260" t="s">
        <v>87</v>
      </c>
      <c r="D260" t="s">
        <v>507</v>
      </c>
      <c r="E260" t="s">
        <v>88</v>
      </c>
      <c r="F260" s="14" t="s">
        <v>856</v>
      </c>
      <c r="G260" s="14"/>
      <c r="H260" s="14"/>
    </row>
    <row r="261" spans="3:8" x14ac:dyDescent="0.15">
      <c r="C261" t="s">
        <v>850</v>
      </c>
      <c r="D261" t="s">
        <v>506</v>
      </c>
      <c r="E261" t="s">
        <v>851</v>
      </c>
      <c r="F261" s="14" t="s">
        <v>857</v>
      </c>
      <c r="G261" s="14"/>
      <c r="H261" s="14"/>
    </row>
    <row r="262" spans="3:8" x14ac:dyDescent="0.15">
      <c r="C262" t="s">
        <v>852</v>
      </c>
      <c r="D262" t="s">
        <v>506</v>
      </c>
      <c r="E262" t="s">
        <v>853</v>
      </c>
      <c r="F262" s="14" t="s">
        <v>858</v>
      </c>
      <c r="G262" s="14"/>
      <c r="H262" s="14"/>
    </row>
    <row r="263" spans="3:8" x14ac:dyDescent="0.15">
      <c r="C263" t="s">
        <v>853</v>
      </c>
      <c r="D263" t="s">
        <v>507</v>
      </c>
      <c r="E263" t="s">
        <v>854</v>
      </c>
      <c r="F263" s="14" t="s">
        <v>856</v>
      </c>
      <c r="G263" s="14"/>
      <c r="H263" s="14"/>
    </row>
    <row r="265" spans="3:8" x14ac:dyDescent="0.15">
      <c r="C265" s="2" t="s">
        <v>89</v>
      </c>
    </row>
    <row r="266" spans="3:8" x14ac:dyDescent="0.15">
      <c r="C266" s="13" t="s">
        <v>85</v>
      </c>
      <c r="D266" s="13"/>
      <c r="E266" s="13"/>
      <c r="F266" s="2" t="s">
        <v>86</v>
      </c>
    </row>
    <row r="267" spans="3:8" x14ac:dyDescent="0.15">
      <c r="C267" t="s">
        <v>95</v>
      </c>
      <c r="D267" t="s">
        <v>506</v>
      </c>
      <c r="E267" t="s">
        <v>96</v>
      </c>
      <c r="F267" s="14" t="s">
        <v>55</v>
      </c>
      <c r="G267" s="14"/>
      <c r="H267" s="14"/>
    </row>
    <row r="268" spans="3:8" x14ac:dyDescent="0.15">
      <c r="C268" t="s">
        <v>97</v>
      </c>
      <c r="D268" t="s">
        <v>506</v>
      </c>
      <c r="E268" t="s">
        <v>98</v>
      </c>
      <c r="F268" s="14" t="s">
        <v>59</v>
      </c>
      <c r="G268" s="14"/>
      <c r="H268" s="14"/>
    </row>
    <row r="269" spans="3:8" x14ac:dyDescent="0.15">
      <c r="C269" t="s">
        <v>99</v>
      </c>
      <c r="D269" t="s">
        <v>506</v>
      </c>
      <c r="E269" t="s">
        <v>90</v>
      </c>
      <c r="F269" s="14" t="s">
        <v>60</v>
      </c>
      <c r="G269" s="14"/>
      <c r="H269" s="14"/>
    </row>
    <row r="270" spans="3:8" x14ac:dyDescent="0.15">
      <c r="C270" t="s">
        <v>90</v>
      </c>
      <c r="D270" t="s">
        <v>507</v>
      </c>
      <c r="E270" t="s">
        <v>91</v>
      </c>
      <c r="F270" s="14" t="s">
        <v>56</v>
      </c>
      <c r="G270" s="14"/>
      <c r="H270" s="14"/>
    </row>
    <row r="271" spans="3:8" x14ac:dyDescent="0.15">
      <c r="C271" t="s">
        <v>92</v>
      </c>
      <c r="D271" t="s">
        <v>507</v>
      </c>
      <c r="E271" t="s">
        <v>93</v>
      </c>
      <c r="F271" s="14" t="s">
        <v>57</v>
      </c>
      <c r="G271" s="14"/>
      <c r="H271" s="14"/>
    </row>
    <row r="272" spans="3:8" x14ac:dyDescent="0.15">
      <c r="C272" t="s">
        <v>93</v>
      </c>
      <c r="D272" t="s">
        <v>507</v>
      </c>
      <c r="E272" t="s">
        <v>94</v>
      </c>
      <c r="F272" s="14" t="s">
        <v>58</v>
      </c>
      <c r="G272" s="14"/>
      <c r="H272" s="14"/>
    </row>
    <row r="275" spans="3:3" x14ac:dyDescent="0.15">
      <c r="C275" t="s">
        <v>859</v>
      </c>
    </row>
    <row r="276" spans="3:3" x14ac:dyDescent="0.15">
      <c r="C276" t="s">
        <v>860</v>
      </c>
    </row>
    <row r="277" spans="3:3" x14ac:dyDescent="0.15">
      <c r="C277" t="s">
        <v>861</v>
      </c>
    </row>
    <row r="278" spans="3:3" x14ac:dyDescent="0.15">
      <c r="C278" t="s">
        <v>862</v>
      </c>
    </row>
    <row r="279" spans="3:3" x14ac:dyDescent="0.15">
      <c r="C279" t="s">
        <v>863</v>
      </c>
    </row>
    <row r="280" spans="3:3" x14ac:dyDescent="0.15">
      <c r="C280" t="s">
        <v>864</v>
      </c>
    </row>
    <row r="281" spans="3:3" x14ac:dyDescent="0.15">
      <c r="C281">
        <v>8031</v>
      </c>
    </row>
    <row r="282" spans="3:3" x14ac:dyDescent="0.15">
      <c r="C282" t="s">
        <v>865</v>
      </c>
    </row>
    <row r="283" spans="3:3" x14ac:dyDescent="0.15">
      <c r="C283" t="s">
        <v>866</v>
      </c>
    </row>
    <row r="284" spans="3:3" x14ac:dyDescent="0.15">
      <c r="C284" t="s">
        <v>867</v>
      </c>
    </row>
    <row r="285" spans="3:3" x14ac:dyDescent="0.15">
      <c r="C285" t="s">
        <v>868</v>
      </c>
    </row>
    <row r="286" spans="3:3" x14ac:dyDescent="0.15">
      <c r="C286" t="s">
        <v>869</v>
      </c>
    </row>
    <row r="287" spans="3:3" x14ac:dyDescent="0.15">
      <c r="C287" t="s">
        <v>870</v>
      </c>
    </row>
    <row r="288" spans="3:3" x14ac:dyDescent="0.15">
      <c r="C288" t="s">
        <v>871</v>
      </c>
    </row>
    <row r="289" spans="3:3" x14ac:dyDescent="0.15">
      <c r="C289" t="s">
        <v>872</v>
      </c>
    </row>
    <row r="290" spans="3:3" x14ac:dyDescent="0.15">
      <c r="C290" t="s">
        <v>873</v>
      </c>
    </row>
    <row r="291" spans="3:3" x14ac:dyDescent="0.15">
      <c r="C291" t="s">
        <v>874</v>
      </c>
    </row>
    <row r="292" spans="3:3" x14ac:dyDescent="0.15">
      <c r="C292" t="s">
        <v>875</v>
      </c>
    </row>
    <row r="293" spans="3:3" x14ac:dyDescent="0.15">
      <c r="C293" t="s">
        <v>876</v>
      </c>
    </row>
    <row r="294" spans="3:3" x14ac:dyDescent="0.15">
      <c r="C294" t="s">
        <v>877</v>
      </c>
    </row>
    <row r="295" spans="3:3" x14ac:dyDescent="0.15">
      <c r="C295" t="s">
        <v>878</v>
      </c>
    </row>
    <row r="296" spans="3:3" x14ac:dyDescent="0.15">
      <c r="C296" t="s">
        <v>879</v>
      </c>
    </row>
    <row r="297" spans="3:3" x14ac:dyDescent="0.15">
      <c r="C297" t="s">
        <v>824</v>
      </c>
    </row>
    <row r="298" spans="3:3" x14ac:dyDescent="0.15">
      <c r="C298" t="s">
        <v>825</v>
      </c>
    </row>
    <row r="299" spans="3:3" x14ac:dyDescent="0.15">
      <c r="C299" t="s">
        <v>826</v>
      </c>
    </row>
    <row r="300" spans="3:3" x14ac:dyDescent="0.15">
      <c r="C300" t="s">
        <v>827</v>
      </c>
    </row>
    <row r="301" spans="3:3" x14ac:dyDescent="0.15">
      <c r="C301">
        <v>6</v>
      </c>
    </row>
    <row r="302" spans="3:3" x14ac:dyDescent="0.15">
      <c r="C302" t="s">
        <v>828</v>
      </c>
    </row>
    <row r="303" spans="3:3" x14ac:dyDescent="0.15">
      <c r="C303" t="s">
        <v>829</v>
      </c>
    </row>
    <row r="304" spans="3:3" x14ac:dyDescent="0.15">
      <c r="C304" t="s">
        <v>830</v>
      </c>
    </row>
    <row r="305" spans="3:3" x14ac:dyDescent="0.15">
      <c r="C305" t="s">
        <v>831</v>
      </c>
    </row>
    <row r="306" spans="3:3" x14ac:dyDescent="0.15">
      <c r="C306" t="s">
        <v>832</v>
      </c>
    </row>
    <row r="307" spans="3:3" x14ac:dyDescent="0.15">
      <c r="C307" t="s">
        <v>833</v>
      </c>
    </row>
    <row r="308" spans="3:3" x14ac:dyDescent="0.15">
      <c r="C308" t="s">
        <v>834</v>
      </c>
    </row>
    <row r="309" spans="3:3" x14ac:dyDescent="0.15">
      <c r="C309" t="s">
        <v>835</v>
      </c>
    </row>
    <row r="310" spans="3:3" x14ac:dyDescent="0.15">
      <c r="C310" t="s">
        <v>836</v>
      </c>
    </row>
    <row r="311" spans="3:3" x14ac:dyDescent="0.15">
      <c r="C311" t="s">
        <v>837</v>
      </c>
    </row>
    <row r="312" spans="3:3" x14ac:dyDescent="0.15">
      <c r="C312" t="s">
        <v>838</v>
      </c>
    </row>
    <row r="313" spans="3:3" x14ac:dyDescent="0.15">
      <c r="C313" t="s">
        <v>61</v>
      </c>
    </row>
    <row r="314" spans="3:3" x14ac:dyDescent="0.15">
      <c r="C314" t="s">
        <v>839</v>
      </c>
    </row>
    <row r="315" spans="3:3" x14ac:dyDescent="0.15">
      <c r="C315" t="s">
        <v>840</v>
      </c>
    </row>
    <row r="316" spans="3:3" x14ac:dyDescent="0.15">
      <c r="C316" t="s">
        <v>62</v>
      </c>
    </row>
    <row r="317" spans="3:3" x14ac:dyDescent="0.15">
      <c r="C317" t="s">
        <v>841</v>
      </c>
    </row>
    <row r="318" spans="3:3" x14ac:dyDescent="0.15">
      <c r="C318" t="s">
        <v>842</v>
      </c>
    </row>
    <row r="319" spans="3:3" x14ac:dyDescent="0.15">
      <c r="C319" t="s">
        <v>843</v>
      </c>
    </row>
    <row r="320" spans="3:3" x14ac:dyDescent="0.15">
      <c r="C320" t="s">
        <v>844</v>
      </c>
    </row>
    <row r="321" spans="3:3" x14ac:dyDescent="0.15">
      <c r="C321" t="s">
        <v>63</v>
      </c>
    </row>
    <row r="322" spans="3:3" x14ac:dyDescent="0.15">
      <c r="C322" t="s">
        <v>845</v>
      </c>
    </row>
    <row r="323" spans="3:3" x14ac:dyDescent="0.15">
      <c r="C323" t="s">
        <v>846</v>
      </c>
    </row>
    <row r="324" spans="3:3" x14ac:dyDescent="0.15">
      <c r="C324" t="s">
        <v>847</v>
      </c>
    </row>
    <row r="325" spans="3:3" x14ac:dyDescent="0.15">
      <c r="C325" t="s">
        <v>848</v>
      </c>
    </row>
    <row r="326" spans="3:3" x14ac:dyDescent="0.15">
      <c r="C326" t="s">
        <v>799</v>
      </c>
    </row>
    <row r="327" spans="3:3" x14ac:dyDescent="0.15">
      <c r="C327">
        <v>656</v>
      </c>
    </row>
    <row r="328" spans="3:3" x14ac:dyDescent="0.15">
      <c r="C328" t="s">
        <v>800</v>
      </c>
    </row>
    <row r="329" spans="3:3" x14ac:dyDescent="0.15">
      <c r="C329" t="s">
        <v>801</v>
      </c>
    </row>
    <row r="330" spans="3:3" x14ac:dyDescent="0.15">
      <c r="C330">
        <v>7</v>
      </c>
    </row>
    <row r="331" spans="3:3" x14ac:dyDescent="0.15">
      <c r="C331" t="s">
        <v>802</v>
      </c>
    </row>
    <row r="332" spans="3:3" x14ac:dyDescent="0.15">
      <c r="C332" t="s">
        <v>64</v>
      </c>
    </row>
    <row r="333" spans="3:3" x14ac:dyDescent="0.15">
      <c r="C333" t="s">
        <v>803</v>
      </c>
    </row>
    <row r="334" spans="3:3" x14ac:dyDescent="0.15">
      <c r="C334" t="s">
        <v>804</v>
      </c>
    </row>
    <row r="335" spans="3:3" x14ac:dyDescent="0.15">
      <c r="C335" t="s">
        <v>805</v>
      </c>
    </row>
    <row r="336" spans="3:3" x14ac:dyDescent="0.15">
      <c r="C336" t="s">
        <v>806</v>
      </c>
    </row>
    <row r="337" spans="3:3" x14ac:dyDescent="0.15">
      <c r="C337" t="s">
        <v>807</v>
      </c>
    </row>
    <row r="338" spans="3:3" x14ac:dyDescent="0.15">
      <c r="C338" t="s">
        <v>808</v>
      </c>
    </row>
    <row r="339" spans="3:3" x14ac:dyDescent="0.15">
      <c r="C339" t="s">
        <v>809</v>
      </c>
    </row>
    <row r="340" spans="3:3" x14ac:dyDescent="0.15">
      <c r="C340" t="s">
        <v>810</v>
      </c>
    </row>
    <row r="341" spans="3:3" x14ac:dyDescent="0.15">
      <c r="C341" t="s">
        <v>811</v>
      </c>
    </row>
    <row r="342" spans="3:3" x14ac:dyDescent="0.15">
      <c r="C342" t="s">
        <v>812</v>
      </c>
    </row>
    <row r="343" spans="3:3" x14ac:dyDescent="0.15">
      <c r="C343" t="s">
        <v>813</v>
      </c>
    </row>
    <row r="344" spans="3:3" x14ac:dyDescent="0.15">
      <c r="C344" t="s">
        <v>814</v>
      </c>
    </row>
    <row r="345" spans="3:3" x14ac:dyDescent="0.15">
      <c r="C345" t="s">
        <v>815</v>
      </c>
    </row>
    <row r="346" spans="3:3" x14ac:dyDescent="0.15">
      <c r="C346" t="s">
        <v>816</v>
      </c>
    </row>
    <row r="347" spans="3:3" x14ac:dyDescent="0.15">
      <c r="C347" t="s">
        <v>817</v>
      </c>
    </row>
    <row r="348" spans="3:3" x14ac:dyDescent="0.15">
      <c r="C348" t="s">
        <v>818</v>
      </c>
    </row>
    <row r="349" spans="3:3" x14ac:dyDescent="0.15">
      <c r="C349" t="s">
        <v>819</v>
      </c>
    </row>
    <row r="350" spans="3:3" x14ac:dyDescent="0.15">
      <c r="C350" t="s">
        <v>820</v>
      </c>
    </row>
    <row r="351" spans="3:3" x14ac:dyDescent="0.15">
      <c r="C351" t="s">
        <v>821</v>
      </c>
    </row>
    <row r="352" spans="3:3" x14ac:dyDescent="0.15">
      <c r="C352" t="s">
        <v>822</v>
      </c>
    </row>
    <row r="353" spans="3:3" x14ac:dyDescent="0.15">
      <c r="C353" t="s">
        <v>823</v>
      </c>
    </row>
    <row r="354" spans="3:3" x14ac:dyDescent="0.15">
      <c r="C354" t="s">
        <v>720</v>
      </c>
    </row>
    <row r="355" spans="3:3" x14ac:dyDescent="0.15">
      <c r="C355" t="s">
        <v>721</v>
      </c>
    </row>
    <row r="356" spans="3:3" x14ac:dyDescent="0.15">
      <c r="C356" t="s">
        <v>722</v>
      </c>
    </row>
  </sheetData>
  <mergeCells count="15">
    <mergeCell ref="C2:E2"/>
    <mergeCell ref="C258:E258"/>
    <mergeCell ref="C266:E266"/>
    <mergeCell ref="F259:H259"/>
    <mergeCell ref="F260:H260"/>
    <mergeCell ref="F261:H261"/>
    <mergeCell ref="F262:H262"/>
    <mergeCell ref="F263:H263"/>
    <mergeCell ref="K2:N2"/>
    <mergeCell ref="F271:H271"/>
    <mergeCell ref="F272:H272"/>
    <mergeCell ref="F267:H267"/>
    <mergeCell ref="F268:H268"/>
    <mergeCell ref="F269:H269"/>
    <mergeCell ref="F270:H270"/>
  </mergeCells>
  <phoneticPr fontId="3" type="noConversion"/>
  <pageMargins left="0.75" right="0.75" top="1" bottom="1" header="0.5" footer="0.5"/>
  <pageSetup orientation="portrait" horizontalDpi="200" verticalDpi="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2009-05-15T15:19:51Z</dcterms:created>
  <dcterms:modified xsi:type="dcterms:W3CDTF">2026-05-07T19:36:36Z</dcterms:modified>
</cp:coreProperties>
</file>